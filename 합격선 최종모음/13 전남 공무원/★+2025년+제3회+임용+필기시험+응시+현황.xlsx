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07. 결과보고\공고문\"/>
    </mc:Choice>
  </mc:AlternateContent>
  <bookViews>
    <workbookView xWindow="0" yWindow="0" windowWidth="28770" windowHeight="11415"/>
  </bookViews>
  <sheets>
    <sheet name="응시현황" sheetId="1" r:id="rId1"/>
  </sheets>
  <definedNames>
    <definedName name="_xlnm._FilterDatabase" localSheetId="0" hidden="1">응시현황!$A$3:$L$280</definedName>
    <definedName name="_xlnm.Print_Area" localSheetId="0">응시현황!$A$3:$I$280</definedName>
    <definedName name="_xlnm.Print_Titles" localSheetId="0">응시현황!$3:$3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F6" i="1"/>
  <c r="G6" i="1"/>
  <c r="H7" i="1"/>
  <c r="J7" i="1" s="1"/>
  <c r="H8" i="1"/>
  <c r="J8" i="1" s="1"/>
  <c r="H9" i="1"/>
  <c r="J9" i="1" s="1"/>
  <c r="H10" i="1"/>
  <c r="J10" i="1" s="1"/>
  <c r="H11" i="1"/>
  <c r="H12" i="1"/>
  <c r="J12" i="1" s="1"/>
  <c r="H13" i="1"/>
  <c r="J13" i="1" s="1"/>
  <c r="H14" i="1"/>
  <c r="J14" i="1" s="1"/>
  <c r="H15" i="1"/>
  <c r="H16" i="1"/>
  <c r="J16" i="1" s="1"/>
  <c r="H17" i="1"/>
  <c r="J17" i="1" s="1"/>
  <c r="H18" i="1"/>
  <c r="J18" i="1" s="1"/>
  <c r="H19" i="1"/>
  <c r="E20" i="1"/>
  <c r="F20" i="1"/>
  <c r="G20" i="1"/>
  <c r="I20" i="1"/>
  <c r="H21" i="1"/>
  <c r="J21" i="1" s="1"/>
  <c r="H22" i="1"/>
  <c r="H23" i="1"/>
  <c r="H24" i="1"/>
  <c r="J24" i="1" s="1"/>
  <c r="H25" i="1"/>
  <c r="J25" i="1" s="1"/>
  <c r="H26" i="1"/>
  <c r="H27" i="1"/>
  <c r="J27" i="1" s="1"/>
  <c r="H28" i="1"/>
  <c r="J28" i="1" s="1"/>
  <c r="H29" i="1"/>
  <c r="J29" i="1" s="1"/>
  <c r="H30" i="1"/>
  <c r="J30" i="1" s="1"/>
  <c r="H31" i="1"/>
  <c r="E33" i="1"/>
  <c r="F33" i="1"/>
  <c r="G33" i="1"/>
  <c r="I33" i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H42" i="1"/>
  <c r="J42" i="1" s="1"/>
  <c r="H43" i="1"/>
  <c r="J43" i="1" s="1"/>
  <c r="H44" i="1"/>
  <c r="J44" i="1" s="1"/>
  <c r="H45" i="1"/>
  <c r="H46" i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H58" i="1"/>
  <c r="J58" i="1" s="1"/>
  <c r="H59" i="1"/>
  <c r="J59" i="1" s="1"/>
  <c r="H60" i="1"/>
  <c r="J60" i="1" s="1"/>
  <c r="H61" i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E68" i="1"/>
  <c r="F68" i="1"/>
  <c r="G68" i="1"/>
  <c r="I68" i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H78" i="1"/>
  <c r="H79" i="1"/>
  <c r="J79" i="1" s="1"/>
  <c r="H80" i="1"/>
  <c r="J80" i="1" s="1"/>
  <c r="E81" i="1"/>
  <c r="F81" i="1"/>
  <c r="G81" i="1"/>
  <c r="I81" i="1"/>
  <c r="H82" i="1"/>
  <c r="J82" i="1" s="1"/>
  <c r="H83" i="1"/>
  <c r="H84" i="1"/>
  <c r="J84" i="1" s="1"/>
  <c r="H85" i="1"/>
  <c r="J85" i="1" s="1"/>
  <c r="H86" i="1"/>
  <c r="J86" i="1" s="1"/>
  <c r="H87" i="1"/>
  <c r="H88" i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H100" i="1"/>
  <c r="J100" i="1" s="1"/>
  <c r="H101" i="1"/>
  <c r="J101" i="1" s="1"/>
  <c r="E102" i="1"/>
  <c r="F102" i="1"/>
  <c r="G102" i="1"/>
  <c r="I102" i="1"/>
  <c r="H103" i="1"/>
  <c r="J103" i="1" s="1"/>
  <c r="H104" i="1"/>
  <c r="E105" i="1"/>
  <c r="F105" i="1"/>
  <c r="G105" i="1"/>
  <c r="I105" i="1"/>
  <c r="H106" i="1"/>
  <c r="J106" i="1" s="1"/>
  <c r="H107" i="1"/>
  <c r="J107" i="1" s="1"/>
  <c r="H108" i="1"/>
  <c r="J108" i="1" s="1"/>
  <c r="H109" i="1"/>
  <c r="H110" i="1"/>
  <c r="J110" i="1" s="1"/>
  <c r="H111" i="1"/>
  <c r="J111" i="1" s="1"/>
  <c r="H112" i="1"/>
  <c r="J112" i="1" s="1"/>
  <c r="H113" i="1"/>
  <c r="H114" i="1"/>
  <c r="H115" i="1"/>
  <c r="J115" i="1" s="1"/>
  <c r="H116" i="1"/>
  <c r="J116" i="1" s="1"/>
  <c r="H117" i="1"/>
  <c r="J117" i="1" s="1"/>
  <c r="E119" i="1"/>
  <c r="F119" i="1"/>
  <c r="G119" i="1"/>
  <c r="I119" i="1"/>
  <c r="H120" i="1"/>
  <c r="H121" i="1"/>
  <c r="J121" i="1" s="1"/>
  <c r="H122" i="1"/>
  <c r="J122" i="1" s="1"/>
  <c r="H123" i="1"/>
  <c r="H124" i="1"/>
  <c r="H125" i="1"/>
  <c r="J125" i="1" s="1"/>
  <c r="H126" i="1"/>
  <c r="J126" i="1" s="1"/>
  <c r="H127" i="1"/>
  <c r="H128" i="1"/>
  <c r="J128" i="1" s="1"/>
  <c r="H129" i="1"/>
  <c r="J129" i="1" s="1"/>
  <c r="E130" i="1"/>
  <c r="F130" i="1"/>
  <c r="G130" i="1"/>
  <c r="I130" i="1"/>
  <c r="H131" i="1"/>
  <c r="E132" i="1"/>
  <c r="F132" i="1"/>
  <c r="G132" i="1"/>
  <c r="I132" i="1"/>
  <c r="H133" i="1"/>
  <c r="H134" i="1"/>
  <c r="J134" i="1" s="1"/>
  <c r="H135" i="1"/>
  <c r="J135" i="1" s="1"/>
  <c r="H136" i="1"/>
  <c r="H137" i="1"/>
  <c r="H138" i="1"/>
  <c r="J138" i="1" s="1"/>
  <c r="E140" i="1"/>
  <c r="F140" i="1"/>
  <c r="G140" i="1"/>
  <c r="I140" i="1"/>
  <c r="H141" i="1"/>
  <c r="J141" i="1" s="1"/>
  <c r="H142" i="1"/>
  <c r="H143" i="1"/>
  <c r="J143" i="1" s="1"/>
  <c r="H144" i="1"/>
  <c r="H145" i="1"/>
  <c r="J145" i="1" s="1"/>
  <c r="H146" i="1"/>
  <c r="H147" i="1"/>
  <c r="J147" i="1" s="1"/>
  <c r="H148" i="1"/>
  <c r="H149" i="1"/>
  <c r="H150" i="1"/>
  <c r="H151" i="1"/>
  <c r="H152" i="1"/>
  <c r="H153" i="1"/>
  <c r="J153" i="1" s="1"/>
  <c r="H154" i="1"/>
  <c r="H155" i="1"/>
  <c r="J155" i="1" s="1"/>
  <c r="H156" i="1"/>
  <c r="H157" i="1"/>
  <c r="J157" i="1" s="1"/>
  <c r="H158" i="1"/>
  <c r="E159" i="1"/>
  <c r="F159" i="1"/>
  <c r="G159" i="1"/>
  <c r="I159" i="1"/>
  <c r="H160" i="1"/>
  <c r="H161" i="1"/>
  <c r="H162" i="1"/>
  <c r="J162" i="1" s="1"/>
  <c r="H163" i="1"/>
  <c r="H164" i="1"/>
  <c r="H165" i="1"/>
  <c r="H166" i="1"/>
  <c r="E168" i="1"/>
  <c r="F168" i="1"/>
  <c r="G168" i="1"/>
  <c r="I168" i="1"/>
  <c r="H169" i="1"/>
  <c r="H170" i="1"/>
  <c r="J170" i="1" s="1"/>
  <c r="H171" i="1"/>
  <c r="H172" i="1"/>
  <c r="J172" i="1" s="1"/>
  <c r="H173" i="1"/>
  <c r="H174" i="1"/>
  <c r="J174" i="1" s="1"/>
  <c r="H175" i="1"/>
  <c r="H176" i="1"/>
  <c r="J176" i="1" s="1"/>
  <c r="H177" i="1"/>
  <c r="H178" i="1"/>
  <c r="H179" i="1"/>
  <c r="E180" i="1"/>
  <c r="F180" i="1"/>
  <c r="G180" i="1"/>
  <c r="I180" i="1"/>
  <c r="H181" i="1"/>
  <c r="J181" i="1" s="1"/>
  <c r="E182" i="1"/>
  <c r="F182" i="1"/>
  <c r="G182" i="1"/>
  <c r="I182" i="1"/>
  <c r="H183" i="1"/>
  <c r="J183" i="1" s="1"/>
  <c r="H184" i="1"/>
  <c r="H185" i="1"/>
  <c r="J185" i="1" s="1"/>
  <c r="H186" i="1"/>
  <c r="J186" i="1" s="1"/>
  <c r="H187" i="1"/>
  <c r="J187" i="1" s="1"/>
  <c r="E188" i="1"/>
  <c r="F188" i="1"/>
  <c r="G188" i="1"/>
  <c r="I188" i="1"/>
  <c r="H189" i="1"/>
  <c r="J189" i="1" s="1"/>
  <c r="H190" i="1"/>
  <c r="J190" i="1" s="1"/>
  <c r="H191" i="1"/>
  <c r="J191" i="1" s="1"/>
  <c r="H192" i="1"/>
  <c r="J192" i="1" s="1"/>
  <c r="H193" i="1"/>
  <c r="J193" i="1" s="1"/>
  <c r="H194" i="1"/>
  <c r="J194" i="1" s="1"/>
  <c r="H195" i="1"/>
  <c r="J195" i="1" s="1"/>
  <c r="H196" i="1"/>
  <c r="J196" i="1" s="1"/>
  <c r="E197" i="1"/>
  <c r="F197" i="1"/>
  <c r="G197" i="1"/>
  <c r="I197" i="1"/>
  <c r="H198" i="1"/>
  <c r="J198" i="1" s="1"/>
  <c r="H199" i="1"/>
  <c r="J199" i="1" s="1"/>
  <c r="H200" i="1"/>
  <c r="J200" i="1" s="1"/>
  <c r="H201" i="1"/>
  <c r="J201" i="1" s="1"/>
  <c r="H202" i="1"/>
  <c r="J202" i="1" s="1"/>
  <c r="E203" i="1"/>
  <c r="F203" i="1"/>
  <c r="G203" i="1"/>
  <c r="I203" i="1"/>
  <c r="H204" i="1"/>
  <c r="J204" i="1" s="1"/>
  <c r="H205" i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J214" i="1" s="1"/>
  <c r="H215" i="1"/>
  <c r="J215" i="1" s="1"/>
  <c r="H216" i="1"/>
  <c r="J216" i="1" s="1"/>
  <c r="E218" i="1"/>
  <c r="F218" i="1"/>
  <c r="G218" i="1"/>
  <c r="I218" i="1"/>
  <c r="H219" i="1"/>
  <c r="J219" i="1" s="1"/>
  <c r="H220" i="1"/>
  <c r="J220" i="1" s="1"/>
  <c r="H221" i="1"/>
  <c r="J221" i="1" s="1"/>
  <c r="H222" i="1"/>
  <c r="J222" i="1" s="1"/>
  <c r="E223" i="1"/>
  <c r="F223" i="1"/>
  <c r="G223" i="1"/>
  <c r="I223" i="1"/>
  <c r="H224" i="1"/>
  <c r="J224" i="1" s="1"/>
  <c r="H225" i="1"/>
  <c r="J225" i="1" s="1"/>
  <c r="H226" i="1"/>
  <c r="J226" i="1" s="1"/>
  <c r="H227" i="1"/>
  <c r="J227" i="1" s="1"/>
  <c r="H228" i="1"/>
  <c r="J228" i="1" s="1"/>
  <c r="H229" i="1"/>
  <c r="J229" i="1" s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J241" i="1" s="1"/>
  <c r="H242" i="1"/>
  <c r="J242" i="1" s="1"/>
  <c r="H243" i="1"/>
  <c r="J243" i="1" s="1"/>
  <c r="E244" i="1"/>
  <c r="F244" i="1"/>
  <c r="G244" i="1"/>
  <c r="I244" i="1"/>
  <c r="H245" i="1"/>
  <c r="J245" i="1" s="1"/>
  <c r="E246" i="1"/>
  <c r="F246" i="1"/>
  <c r="G246" i="1"/>
  <c r="I246" i="1"/>
  <c r="H247" i="1"/>
  <c r="J247" i="1" s="1"/>
  <c r="H248" i="1"/>
  <c r="J248" i="1" s="1"/>
  <c r="H249" i="1"/>
  <c r="J249" i="1" s="1"/>
  <c r="H250" i="1"/>
  <c r="J250" i="1" s="1"/>
  <c r="H251" i="1"/>
  <c r="J251" i="1" s="1"/>
  <c r="H252" i="1"/>
  <c r="J252" i="1" s="1"/>
  <c r="H253" i="1"/>
  <c r="J253" i="1" s="1"/>
  <c r="H254" i="1"/>
  <c r="J254" i="1" s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H261" i="1"/>
  <c r="J261" i="1" s="1"/>
  <c r="H262" i="1"/>
  <c r="J262" i="1" s="1"/>
  <c r="H263" i="1"/>
  <c r="J263" i="1" s="1"/>
  <c r="E264" i="1"/>
  <c r="F264" i="1"/>
  <c r="G264" i="1"/>
  <c r="I264" i="1"/>
  <c r="H265" i="1"/>
  <c r="J265" i="1" s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E277" i="1"/>
  <c r="F277" i="1"/>
  <c r="G277" i="1"/>
  <c r="I277" i="1"/>
  <c r="H278" i="1"/>
  <c r="J278" i="1" s="1"/>
  <c r="E279" i="1"/>
  <c r="F279" i="1"/>
  <c r="G279" i="1"/>
  <c r="I279" i="1"/>
  <c r="H280" i="1"/>
  <c r="J280" i="1" s="1"/>
  <c r="F139" i="1" l="1"/>
  <c r="J26" i="1"/>
  <c r="I118" i="1"/>
  <c r="G118" i="1"/>
  <c r="F167" i="1"/>
  <c r="H277" i="1"/>
  <c r="J277" i="1" s="1"/>
  <c r="E167" i="1"/>
  <c r="H279" i="1"/>
  <c r="J279" i="1" s="1"/>
  <c r="H203" i="1"/>
  <c r="J203" i="1" s="1"/>
  <c r="J160" i="1"/>
  <c r="J151" i="1"/>
  <c r="J77" i="1"/>
  <c r="J22" i="1"/>
  <c r="J19" i="1"/>
  <c r="G5" i="1"/>
  <c r="H218" i="1"/>
  <c r="J218" i="1" s="1"/>
  <c r="H197" i="1"/>
  <c r="J197" i="1" s="1"/>
  <c r="G217" i="1"/>
  <c r="H188" i="1"/>
  <c r="J188" i="1" s="1"/>
  <c r="J164" i="1"/>
  <c r="J114" i="1"/>
  <c r="J46" i="1"/>
  <c r="J15" i="1"/>
  <c r="J11" i="1"/>
  <c r="H264" i="1"/>
  <c r="J264" i="1" s="1"/>
  <c r="H182" i="1"/>
  <c r="J178" i="1"/>
  <c r="J149" i="1"/>
  <c r="J131" i="1"/>
  <c r="J124" i="1"/>
  <c r="J120" i="1"/>
  <c r="J88" i="1"/>
  <c r="J173" i="1"/>
  <c r="J165" i="1"/>
  <c r="J156" i="1"/>
  <c r="I139" i="1"/>
  <c r="J137" i="1"/>
  <c r="J87" i="1"/>
  <c r="J83" i="1"/>
  <c r="G167" i="1"/>
  <c r="J150" i="1"/>
  <c r="G139" i="1"/>
  <c r="J136" i="1"/>
  <c r="J177" i="1"/>
  <c r="J144" i="1"/>
  <c r="J61" i="1"/>
  <c r="J57" i="1"/>
  <c r="J171" i="1"/>
  <c r="J163" i="1"/>
  <c r="J154" i="1"/>
  <c r="J104" i="1"/>
  <c r="J45" i="1"/>
  <c r="J41" i="1"/>
  <c r="H246" i="1"/>
  <c r="J148" i="1"/>
  <c r="J78" i="1"/>
  <c r="H244" i="1"/>
  <c r="J244" i="1" s="1"/>
  <c r="J175" i="1"/>
  <c r="J158" i="1"/>
  <c r="J142" i="1"/>
  <c r="J169" i="1"/>
  <c r="H168" i="1"/>
  <c r="J161" i="1"/>
  <c r="J152" i="1"/>
  <c r="J133" i="1"/>
  <c r="H132" i="1"/>
  <c r="J127" i="1"/>
  <c r="J123" i="1"/>
  <c r="J113" i="1"/>
  <c r="J109" i="1"/>
  <c r="H223" i="1"/>
  <c r="J146" i="1"/>
  <c r="J99" i="1"/>
  <c r="J31" i="1"/>
  <c r="J23" i="1"/>
  <c r="H20" i="1"/>
  <c r="I217" i="1"/>
  <c r="H180" i="1"/>
  <c r="J180" i="1" s="1"/>
  <c r="H159" i="1"/>
  <c r="H140" i="1"/>
  <c r="F5" i="1"/>
  <c r="E5" i="1"/>
  <c r="J205" i="1"/>
  <c r="J184" i="1"/>
  <c r="J182" i="1"/>
  <c r="E139" i="1"/>
  <c r="F217" i="1"/>
  <c r="I167" i="1"/>
  <c r="E217" i="1"/>
  <c r="I6" i="1"/>
  <c r="F118" i="1"/>
  <c r="E118" i="1"/>
  <c r="H6" i="1"/>
  <c r="H130" i="1"/>
  <c r="J130" i="1" s="1"/>
  <c r="H119" i="1"/>
  <c r="H105" i="1"/>
  <c r="H102" i="1"/>
  <c r="J102" i="1" s="1"/>
  <c r="H81" i="1"/>
  <c r="J81" i="1" s="1"/>
  <c r="H68" i="1"/>
  <c r="J68" i="1" s="1"/>
  <c r="H33" i="1"/>
  <c r="J33" i="1" s="1"/>
  <c r="F32" i="1" l="1"/>
  <c r="G32" i="1"/>
  <c r="G4" i="1" s="1"/>
  <c r="E32" i="1"/>
  <c r="E4" i="1" s="1"/>
  <c r="H118" i="1"/>
  <c r="J119" i="1"/>
  <c r="F4" i="1"/>
  <c r="J20" i="1"/>
  <c r="H217" i="1"/>
  <c r="J217" i="1" s="1"/>
  <c r="J246" i="1"/>
  <c r="H139" i="1"/>
  <c r="J132" i="1"/>
  <c r="J140" i="1"/>
  <c r="H5" i="1"/>
  <c r="H167" i="1"/>
  <c r="J168" i="1"/>
  <c r="J159" i="1"/>
  <c r="J6" i="1"/>
  <c r="I5" i="1"/>
  <c r="I32" i="1"/>
  <c r="J105" i="1"/>
  <c r="J223" i="1"/>
  <c r="J167" i="1" l="1"/>
  <c r="J118" i="1"/>
  <c r="H32" i="1"/>
  <c r="J32" i="1" s="1"/>
  <c r="J5" i="1"/>
  <c r="I4" i="1"/>
  <c r="J139" i="1"/>
  <c r="H4" i="1" l="1"/>
  <c r="J4" i="1" l="1"/>
</calcChain>
</file>

<file path=xl/sharedStrings.xml><?xml version="1.0" encoding="utf-8"?>
<sst xmlns="http://schemas.openxmlformats.org/spreadsheetml/2006/main" count="360" uniqueCount="123">
  <si>
    <r>
      <rPr>
        <sz val="11"/>
        <rFont val="돋움"/>
        <family val="3"/>
        <charset val="129"/>
      </rPr>
      <t>도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일괄</t>
    </r>
    <r>
      <rPr>
        <sz val="11"/>
        <rFont val="Calibri"/>
        <family val="2"/>
      </rPr>
      <t/>
    </r>
    <phoneticPr fontId="2" type="noConversion"/>
  </si>
  <si>
    <t xml:space="preserve">통신기술 </t>
  </si>
  <si>
    <t>계</t>
    <phoneticPr fontId="2" type="noConversion"/>
  </si>
  <si>
    <t xml:space="preserve">통신기술 </t>
    <phoneticPr fontId="2" type="noConversion"/>
  </si>
  <si>
    <t xml:space="preserve">방재안전 </t>
  </si>
  <si>
    <t xml:space="preserve">방재안전 </t>
    <phoneticPr fontId="2" type="noConversion"/>
  </si>
  <si>
    <t>진도군</t>
  </si>
  <si>
    <t>완도군</t>
  </si>
  <si>
    <t>영광군</t>
  </si>
  <si>
    <t>영암군</t>
  </si>
  <si>
    <t>해남군</t>
  </si>
  <si>
    <t>보성군</t>
  </si>
  <si>
    <t>고흥군</t>
  </si>
  <si>
    <t>구례군</t>
  </si>
  <si>
    <t>담양군</t>
  </si>
  <si>
    <t>순천시</t>
  </si>
  <si>
    <t>여수시</t>
  </si>
  <si>
    <t>목포시</t>
  </si>
  <si>
    <t>소계</t>
    <phoneticPr fontId="14" type="noConversion"/>
  </si>
  <si>
    <t xml:space="preserve">지적 </t>
  </si>
  <si>
    <t>장성군</t>
  </si>
  <si>
    <t>함평군</t>
  </si>
  <si>
    <t>무안군</t>
  </si>
  <si>
    <t>강진군</t>
  </si>
  <si>
    <t>장흥군</t>
  </si>
  <si>
    <t>화순군</t>
  </si>
  <si>
    <t>광양시</t>
  </si>
  <si>
    <t xml:space="preserve">건축 </t>
  </si>
  <si>
    <t>화순군</t>
    <phoneticPr fontId="2" type="noConversion"/>
  </si>
  <si>
    <t>소계</t>
    <phoneticPr fontId="2" type="noConversion"/>
  </si>
  <si>
    <t>수도토목</t>
    <phoneticPr fontId="2" type="noConversion"/>
  </si>
  <si>
    <t>전라남도</t>
  </si>
  <si>
    <t>곡성군</t>
  </si>
  <si>
    <t xml:space="preserve">일반토목 </t>
  </si>
  <si>
    <t xml:space="preserve">도시계획 </t>
  </si>
  <si>
    <t>시설</t>
  </si>
  <si>
    <t>환경</t>
    <phoneticPr fontId="2" type="noConversion"/>
  </si>
  <si>
    <t>계</t>
    <phoneticPr fontId="14" type="noConversion"/>
  </si>
  <si>
    <t xml:space="preserve">식품위생 </t>
  </si>
  <si>
    <t>보건</t>
    <phoneticPr fontId="2" type="noConversion"/>
  </si>
  <si>
    <t>해양수산</t>
    <phoneticPr fontId="2" type="noConversion"/>
  </si>
  <si>
    <t>산림보호</t>
    <phoneticPr fontId="2" type="noConversion"/>
  </si>
  <si>
    <t>산림자원</t>
    <phoneticPr fontId="2" type="noConversion"/>
  </si>
  <si>
    <t>녹지</t>
    <phoneticPr fontId="14" type="noConversion"/>
  </si>
  <si>
    <t xml:space="preserve">축산 </t>
  </si>
  <si>
    <t xml:space="preserve">일반농업 </t>
  </si>
  <si>
    <t>농업</t>
    <phoneticPr fontId="2" type="noConversion"/>
  </si>
  <si>
    <t xml:space="preserve">일반화공 </t>
    <phoneticPr fontId="14" type="noConversion"/>
  </si>
  <si>
    <t>일반전기</t>
    <phoneticPr fontId="14" type="noConversion"/>
  </si>
  <si>
    <t>나주시</t>
  </si>
  <si>
    <t>일반기계</t>
    <phoneticPr fontId="14" type="noConversion"/>
  </si>
  <si>
    <t>공업</t>
    <phoneticPr fontId="2" type="noConversion"/>
  </si>
  <si>
    <t xml:space="preserve">전산 </t>
    <phoneticPr fontId="2" type="noConversion"/>
  </si>
  <si>
    <t xml:space="preserve">사회복지 </t>
    <phoneticPr fontId="14" type="noConversion"/>
  </si>
  <si>
    <t>계</t>
  </si>
  <si>
    <t>세무</t>
    <phoneticPr fontId="2" type="noConversion"/>
  </si>
  <si>
    <t>진도군의회</t>
  </si>
  <si>
    <t>완도군의회</t>
  </si>
  <si>
    <t>무안군의회</t>
  </si>
  <si>
    <t>영암군의회</t>
  </si>
  <si>
    <t>장흥군의회</t>
  </si>
  <si>
    <t>보성군의회</t>
  </si>
  <si>
    <t>고흥군의회</t>
  </si>
  <si>
    <t>곡성군의회</t>
  </si>
  <si>
    <t>여수시의회</t>
  </si>
  <si>
    <t>목포시의회</t>
  </si>
  <si>
    <t>행정</t>
    <phoneticPr fontId="14" type="noConversion"/>
  </si>
  <si>
    <t>9급 계</t>
    <phoneticPr fontId="14" type="noConversion"/>
  </si>
  <si>
    <t>9급</t>
    <phoneticPr fontId="14" type="noConversion"/>
  </si>
  <si>
    <t>보건진료</t>
    <phoneticPr fontId="14" type="noConversion"/>
  </si>
  <si>
    <t>간호</t>
    <phoneticPr fontId="2" type="noConversion"/>
  </si>
  <si>
    <t>응시율</t>
    <phoneticPr fontId="2" type="noConversion"/>
  </si>
  <si>
    <t>8급 계</t>
    <phoneticPr fontId="14" type="noConversion"/>
  </si>
  <si>
    <t>8급</t>
    <phoneticPr fontId="14" type="noConversion"/>
  </si>
  <si>
    <t>합계</t>
    <phoneticPr fontId="14" type="noConversion"/>
  </si>
  <si>
    <t>비 고</t>
  </si>
  <si>
    <t>응시
인원</t>
    <phoneticPr fontId="2" type="noConversion"/>
  </si>
  <si>
    <t>최종
출원자수</t>
    <phoneticPr fontId="2" type="noConversion"/>
  </si>
  <si>
    <t>추가 취소
인원</t>
    <phoneticPr fontId="2" type="noConversion"/>
  </si>
  <si>
    <t>선발예정
인      원</t>
  </si>
  <si>
    <t>임용예정
기      관</t>
  </si>
  <si>
    <t>직렬</t>
    <phoneticPr fontId="14" type="noConversion"/>
  </si>
  <si>
    <t>직급</t>
    <phoneticPr fontId="14" type="noConversion"/>
  </si>
  <si>
    <t>2025년도 제3회 임용 필기시험 응시현황</t>
    <phoneticPr fontId="14" type="noConversion"/>
  </si>
  <si>
    <t>직류</t>
    <phoneticPr fontId="14" type="noConversion"/>
  </si>
  <si>
    <t>간호</t>
    <phoneticPr fontId="2" type="noConversion"/>
  </si>
  <si>
    <t>간호(장)</t>
    <phoneticPr fontId="2" type="noConversion"/>
  </si>
  <si>
    <t>보건진료</t>
    <phoneticPr fontId="2" type="noConversion"/>
  </si>
  <si>
    <t>일반행정</t>
    <phoneticPr fontId="2" type="noConversion"/>
  </si>
  <si>
    <t>일반행정(저)</t>
    <phoneticPr fontId="2" type="noConversion"/>
  </si>
  <si>
    <t>일반행정(장)</t>
    <phoneticPr fontId="2" type="noConversion"/>
  </si>
  <si>
    <t>지방세</t>
    <phoneticPr fontId="2" type="noConversion"/>
  </si>
  <si>
    <t>지방세(장)</t>
    <phoneticPr fontId="2" type="noConversion"/>
  </si>
  <si>
    <t>사회복지</t>
    <phoneticPr fontId="2" type="noConversion"/>
  </si>
  <si>
    <t>사회복지(저)</t>
    <phoneticPr fontId="2" type="noConversion"/>
  </si>
  <si>
    <t>사회복지(장)</t>
    <phoneticPr fontId="2" type="noConversion"/>
  </si>
  <si>
    <t>전산</t>
    <phoneticPr fontId="2" type="noConversion"/>
  </si>
  <si>
    <t>전산(장)</t>
    <phoneticPr fontId="2" type="noConversion"/>
  </si>
  <si>
    <t>사서</t>
    <phoneticPr fontId="2" type="noConversion"/>
  </si>
  <si>
    <t>사서(장)</t>
    <phoneticPr fontId="2" type="noConversion"/>
  </si>
  <si>
    <t>일반기계</t>
    <phoneticPr fontId="2" type="noConversion"/>
  </si>
  <si>
    <t>일반전기</t>
    <phoneticPr fontId="2" type="noConversion"/>
  </si>
  <si>
    <t>일반화공</t>
    <phoneticPr fontId="2" type="noConversion"/>
  </si>
  <si>
    <t>일반농업</t>
    <phoneticPr fontId="2" type="noConversion"/>
  </si>
  <si>
    <t>일반농업(장)</t>
    <phoneticPr fontId="2" type="noConversion"/>
  </si>
  <si>
    <t>축산</t>
    <phoneticPr fontId="2" type="noConversion"/>
  </si>
  <si>
    <t>산림자원</t>
    <phoneticPr fontId="2" type="noConversion"/>
  </si>
  <si>
    <t>산림자원(장)</t>
    <phoneticPr fontId="2" type="noConversion"/>
  </si>
  <si>
    <t>일반수산</t>
    <phoneticPr fontId="2" type="noConversion"/>
  </si>
  <si>
    <t>보건</t>
    <phoneticPr fontId="2" type="noConversion"/>
  </si>
  <si>
    <t>보건(장)</t>
    <phoneticPr fontId="2" type="noConversion"/>
  </si>
  <si>
    <t>식품위생</t>
    <phoneticPr fontId="2" type="noConversion"/>
  </si>
  <si>
    <t>일반환경</t>
    <phoneticPr fontId="2" type="noConversion"/>
  </si>
  <si>
    <t>도시계획</t>
    <phoneticPr fontId="2" type="noConversion"/>
  </si>
  <si>
    <t>일반토목</t>
    <phoneticPr fontId="2" type="noConversion"/>
  </si>
  <si>
    <t>일반토목(장)</t>
    <phoneticPr fontId="2" type="noConversion"/>
  </si>
  <si>
    <t>건축</t>
    <phoneticPr fontId="2" type="noConversion"/>
  </si>
  <si>
    <t>건축(장)</t>
    <phoneticPr fontId="2" type="noConversion"/>
  </si>
  <si>
    <t>지적</t>
    <phoneticPr fontId="2" type="noConversion"/>
  </si>
  <si>
    <t>방재안전</t>
    <phoneticPr fontId="2" type="noConversion"/>
  </si>
  <si>
    <t>통신기술</t>
    <phoneticPr fontId="2" type="noConversion"/>
  </si>
  <si>
    <t>사서</t>
    <phoneticPr fontId="14" type="noConversion"/>
  </si>
  <si>
    <t>접수인원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</si>
</sst>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);[Red]\(#,##0\)"/>
    <numFmt numFmtId="177" formatCode="0_ "/>
  </numFmts>
  <fonts count="3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636E7B"/>
      <name val="Calibri"/>
      <family val="2"/>
    </font>
    <font>
      <sz val="11"/>
      <color rgb="FF7030A0"/>
      <name val="Calibri"/>
      <family val="2"/>
    </font>
    <font>
      <sz val="11"/>
      <name val="Calibri"/>
      <family val="2"/>
    </font>
    <font>
      <sz val="11"/>
      <name val="돋움"/>
      <family val="3"/>
      <charset val="129"/>
    </font>
    <font>
      <sz val="11"/>
      <color rgb="FF636E7B"/>
      <name val="맑은 고딕"/>
      <family val="3"/>
      <charset val="129"/>
      <scheme val="major"/>
    </font>
    <font>
      <b/>
      <sz val="11"/>
      <color rgb="FF636E7B"/>
      <name val="맑은 고딕"/>
      <family val="3"/>
      <charset val="129"/>
      <scheme val="major"/>
    </font>
    <font>
      <b/>
      <sz val="11"/>
      <color rgb="FF00B050"/>
      <name val="Calibri"/>
      <family val="2"/>
    </font>
    <font>
      <b/>
      <sz val="11"/>
      <color rgb="FF00B050"/>
      <name val="맑은 고딕"/>
      <family val="3"/>
      <charset val="129"/>
      <scheme val="major"/>
    </font>
    <font>
      <b/>
      <sz val="11"/>
      <color theme="4" tint="-0.249977111117893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1"/>
      <color theme="4" tint="-0.249977111117893"/>
      <name val="Calibri"/>
      <family val="2"/>
    </font>
    <font>
      <b/>
      <sz val="11"/>
      <color theme="4" tint="-0.249977111117893"/>
      <name val="돋움"/>
      <family val="3"/>
      <charset val="129"/>
    </font>
    <font>
      <sz val="11"/>
      <color theme="4" tint="-0.249977111117893"/>
      <name val="맑은 고딕"/>
      <family val="3"/>
      <charset val="129"/>
      <scheme val="major"/>
    </font>
    <font>
      <b/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sz val="11"/>
      <color theme="1" tint="0.499984740745262"/>
      <name val="Calibri"/>
      <family val="2"/>
    </font>
    <font>
      <sz val="11"/>
      <color theme="0" tint="-0.249977111117893"/>
      <name val="Calibri"/>
      <family val="2"/>
    </font>
    <font>
      <u/>
      <sz val="11"/>
      <color rgb="FFFF0000"/>
      <name val="Calibri"/>
      <family val="2"/>
    </font>
    <font>
      <b/>
      <sz val="11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theme="6" tint="-0.499984740745262"/>
      <name val="맑은 고딕"/>
      <family val="3"/>
      <charset val="129"/>
      <scheme val="major"/>
    </font>
    <font>
      <sz val="11"/>
      <color rgb="FF00B05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0" tint="-0.499984740745262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9" fillId="0" borderId="0">
      <alignment vertical="center"/>
    </xf>
  </cellStyleXfs>
  <cellXfs count="81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0" fontId="1" fillId="0" borderId="0" xfId="1" applyNumberFormat="1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7" fontId="11" fillId="2" borderId="1" xfId="0" applyNumberFormat="1" applyFont="1" applyFill="1" applyBorder="1" applyAlignment="1">
      <alignment horizontal="center" vertical="center"/>
    </xf>
    <xf numFmtId="10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10" fontId="13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7" fontId="15" fillId="2" borderId="1" xfId="0" applyNumberFormat="1" applyFont="1" applyFill="1" applyBorder="1" applyAlignment="1">
      <alignment horizontal="center" vertical="center"/>
    </xf>
    <xf numFmtId="10" fontId="15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10" fontId="13" fillId="2" borderId="1" xfId="1" applyNumberFormat="1" applyFont="1" applyFill="1" applyBorder="1" applyAlignment="1">
      <alignment horizontal="center" vertical="center"/>
    </xf>
    <xf numFmtId="10" fontId="12" fillId="2" borderId="1" xfId="0" applyNumberFormat="1" applyFont="1" applyFill="1" applyBorder="1" applyAlignment="1">
      <alignment horizontal="center" vertical="center"/>
    </xf>
    <xf numFmtId="10" fontId="12" fillId="2" borderId="1" xfId="1" applyNumberFormat="1" applyFont="1" applyFill="1" applyBorder="1" applyAlignment="1">
      <alignment horizontal="center" vertical="center"/>
    </xf>
    <xf numFmtId="10" fontId="13" fillId="3" borderId="1" xfId="2" applyNumberFormat="1" applyFont="1" applyFill="1" applyBorder="1" applyAlignment="1">
      <alignment horizontal="center" vertical="center" wrapText="1"/>
    </xf>
    <xf numFmtId="10" fontId="4" fillId="3" borderId="1" xfId="2" applyNumberFormat="1" applyFont="1" applyFill="1" applyBorder="1" applyAlignment="1">
      <alignment horizontal="center" vertical="center" wrapText="1"/>
    </xf>
    <xf numFmtId="10" fontId="12" fillId="3" borderId="1" xfId="2" applyNumberFormat="1" applyFont="1" applyFill="1" applyBorder="1" applyAlignment="1">
      <alignment horizontal="center" vertical="center" wrapText="1"/>
    </xf>
    <xf numFmtId="176" fontId="12" fillId="2" borderId="1" xfId="0" applyNumberFormat="1" applyFont="1" applyFill="1" applyBorder="1" applyAlignment="1">
      <alignment horizontal="center" vertical="center" wrapText="1"/>
    </xf>
    <xf numFmtId="176" fontId="20" fillId="0" borderId="1" xfId="0" applyNumberFormat="1" applyFont="1" applyBorder="1" applyAlignment="1">
      <alignment horizontal="center" vertical="center"/>
    </xf>
    <xf numFmtId="176" fontId="12" fillId="2" borderId="1" xfId="0" applyNumberFormat="1" applyFont="1" applyFill="1" applyBorder="1" applyAlignment="1">
      <alignment horizontal="center" vertical="center"/>
    </xf>
    <xf numFmtId="176" fontId="12" fillId="3" borderId="1" xfId="0" applyNumberFormat="1" applyFont="1" applyFill="1" applyBorder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/>
    </xf>
    <xf numFmtId="10" fontId="25" fillId="3" borderId="1" xfId="2" applyNumberFormat="1" applyFont="1" applyFill="1" applyBorder="1" applyAlignment="1">
      <alignment horizontal="center" vertical="center" wrapText="1"/>
    </xf>
    <xf numFmtId="176" fontId="26" fillId="2" borderId="1" xfId="0" applyNumberFormat="1" applyFont="1" applyFill="1" applyBorder="1" applyAlignment="1">
      <alignment horizontal="center" vertical="center"/>
    </xf>
    <xf numFmtId="176" fontId="27" fillId="0" borderId="1" xfId="0" applyNumberFormat="1" applyFont="1" applyBorder="1" applyAlignment="1">
      <alignment horizontal="center" vertical="center"/>
    </xf>
    <xf numFmtId="176" fontId="12" fillId="3" borderId="1" xfId="2" applyNumberFormat="1" applyFont="1" applyFill="1" applyBorder="1" applyAlignment="1">
      <alignment horizontal="center" vertical="center"/>
    </xf>
    <xf numFmtId="176" fontId="12" fillId="3" borderId="1" xfId="2" applyNumberFormat="1" applyFont="1" applyFill="1" applyBorder="1" applyAlignment="1">
      <alignment horizontal="center" vertical="center" wrapText="1"/>
    </xf>
    <xf numFmtId="176" fontId="25" fillId="3" borderId="1" xfId="2" applyNumberFormat="1" applyFont="1" applyFill="1" applyBorder="1" applyAlignment="1">
      <alignment horizontal="center" vertical="center"/>
    </xf>
    <xf numFmtId="176" fontId="26" fillId="3" borderId="1" xfId="2" applyNumberFormat="1" applyFont="1" applyFill="1" applyBorder="1" applyAlignment="1">
      <alignment horizontal="center" vertical="center" wrapText="1"/>
    </xf>
    <xf numFmtId="176" fontId="26" fillId="3" borderId="1" xfId="0" applyNumberFormat="1" applyFont="1" applyFill="1" applyBorder="1" applyAlignment="1">
      <alignment horizontal="center" vertical="center"/>
    </xf>
    <xf numFmtId="10" fontId="28" fillId="3" borderId="1" xfId="2" applyNumberFormat="1" applyFont="1" applyFill="1" applyBorder="1" applyAlignment="1">
      <alignment horizontal="center" vertical="center" wrapText="1"/>
    </xf>
    <xf numFmtId="176" fontId="28" fillId="3" borderId="1" xfId="2" applyNumberFormat="1" applyFont="1" applyFill="1" applyBorder="1" applyAlignment="1">
      <alignment horizontal="center" vertical="center" wrapText="1"/>
    </xf>
    <xf numFmtId="176" fontId="28" fillId="3" borderId="1" xfId="0" applyNumberFormat="1" applyFont="1" applyFill="1" applyBorder="1" applyAlignment="1">
      <alignment horizontal="center" vertical="center"/>
    </xf>
    <xf numFmtId="176" fontId="25" fillId="4" borderId="1" xfId="2" applyNumberFormat="1" applyFont="1" applyFill="1" applyBorder="1" applyAlignment="1">
      <alignment horizontal="center" vertical="center"/>
    </xf>
    <xf numFmtId="176" fontId="25" fillId="4" borderId="1" xfId="2" applyNumberFormat="1" applyFont="1" applyFill="1" applyBorder="1" applyAlignment="1">
      <alignment horizontal="center" vertical="center" wrapText="1"/>
    </xf>
    <xf numFmtId="176" fontId="25" fillId="4" borderId="1" xfId="0" applyNumberFormat="1" applyFont="1" applyFill="1" applyBorder="1" applyAlignment="1">
      <alignment horizontal="center" vertical="center"/>
    </xf>
    <xf numFmtId="10" fontId="30" fillId="0" borderId="0" xfId="1" applyNumberFormat="1" applyFont="1" applyFill="1" applyBorder="1" applyAlignment="1">
      <alignment horizontal="center" vertical="center"/>
    </xf>
    <xf numFmtId="176" fontId="33" fillId="0" borderId="0" xfId="0" applyNumberFormat="1" applyFont="1" applyBorder="1" applyAlignment="1">
      <alignment horizontal="center" vertical="center"/>
    </xf>
    <xf numFmtId="176" fontId="32" fillId="0" borderId="0" xfId="0" applyNumberFormat="1" applyFont="1" applyBorder="1" applyAlignment="1">
      <alignment horizontal="center" vertical="center"/>
    </xf>
    <xf numFmtId="176" fontId="31" fillId="0" borderId="0" xfId="0" applyNumberFormat="1" applyFont="1" applyFill="1" applyBorder="1" applyAlignment="1">
      <alignment horizontal="center" vertical="center"/>
    </xf>
    <xf numFmtId="176" fontId="29" fillId="0" borderId="0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176" fontId="26" fillId="0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0" fontId="25" fillId="4" borderId="1" xfId="1" applyNumberFormat="1" applyFont="1" applyFill="1" applyBorder="1" applyAlignment="1">
      <alignment horizontal="center" vertical="center"/>
    </xf>
    <xf numFmtId="176" fontId="18" fillId="0" borderId="2" xfId="0" applyNumberFormat="1" applyFont="1" applyBorder="1" applyAlignment="1">
      <alignment horizontal="center" vertical="center"/>
    </xf>
    <xf numFmtId="176" fontId="18" fillId="0" borderId="3" xfId="0" applyNumberFormat="1" applyFont="1" applyBorder="1" applyAlignment="1">
      <alignment horizontal="center" vertical="center"/>
    </xf>
    <xf numFmtId="176" fontId="18" fillId="0" borderId="4" xfId="0" applyNumberFormat="1" applyFont="1" applyBorder="1" applyAlignment="1">
      <alignment horizontal="center" vertical="center"/>
    </xf>
    <xf numFmtId="176" fontId="12" fillId="2" borderId="2" xfId="0" applyNumberFormat="1" applyFont="1" applyFill="1" applyBorder="1" applyAlignment="1">
      <alignment horizontal="center" vertical="center"/>
    </xf>
    <xf numFmtId="176" fontId="12" fillId="2" borderId="3" xfId="0" applyNumberFormat="1" applyFont="1" applyFill="1" applyBorder="1" applyAlignment="1">
      <alignment horizontal="center" vertical="center"/>
    </xf>
    <xf numFmtId="176" fontId="12" fillId="2" borderId="4" xfId="0" applyNumberFormat="1" applyFont="1" applyFill="1" applyBorder="1" applyAlignment="1">
      <alignment horizontal="center" vertical="center"/>
    </xf>
    <xf numFmtId="176" fontId="9" fillId="2" borderId="2" xfId="0" applyNumberFormat="1" applyFont="1" applyFill="1" applyBorder="1" applyAlignment="1">
      <alignment horizontal="center" vertical="center"/>
    </xf>
    <xf numFmtId="176" fontId="9" fillId="2" borderId="3" xfId="0" applyNumberFormat="1" applyFont="1" applyFill="1" applyBorder="1" applyAlignment="1">
      <alignment horizontal="center" vertical="center"/>
    </xf>
    <xf numFmtId="176" fontId="9" fillId="2" borderId="4" xfId="0" applyNumberFormat="1" applyFont="1" applyFill="1" applyBorder="1" applyAlignment="1">
      <alignment horizontal="center" vertical="center"/>
    </xf>
    <xf numFmtId="176" fontId="12" fillId="2" borderId="2" xfId="0" applyNumberFormat="1" applyFont="1" applyFill="1" applyBorder="1" applyAlignment="1">
      <alignment horizontal="center" vertical="center" wrapText="1"/>
    </xf>
    <xf numFmtId="176" fontId="12" fillId="2" borderId="3" xfId="0" applyNumberFormat="1" applyFont="1" applyFill="1" applyBorder="1" applyAlignment="1">
      <alignment horizontal="center" vertical="center" wrapText="1"/>
    </xf>
    <xf numFmtId="176" fontId="12" fillId="2" borderId="4" xfId="0" applyNumberFormat="1" applyFont="1" applyFill="1" applyBorder="1" applyAlignment="1">
      <alignment horizontal="center" vertical="center" wrapText="1"/>
    </xf>
    <xf numFmtId="176" fontId="32" fillId="0" borderId="0" xfId="0" applyNumberFormat="1" applyFont="1" applyBorder="1" applyAlignment="1">
      <alignment horizontal="center" vertical="center"/>
    </xf>
    <xf numFmtId="176" fontId="10" fillId="3" borderId="2" xfId="0" applyNumberFormat="1" applyFont="1" applyFill="1" applyBorder="1" applyAlignment="1">
      <alignment horizontal="center" vertical="center"/>
    </xf>
    <xf numFmtId="176" fontId="10" fillId="3" borderId="3" xfId="0" applyNumberFormat="1" applyFont="1" applyFill="1" applyBorder="1" applyAlignment="1">
      <alignment horizontal="center" vertical="center"/>
    </xf>
    <xf numFmtId="176" fontId="10" fillId="3" borderId="4" xfId="0" applyNumberFormat="1" applyFont="1" applyFill="1" applyBorder="1" applyAlignment="1">
      <alignment horizontal="center" vertical="center"/>
    </xf>
    <xf numFmtId="176" fontId="12" fillId="3" borderId="2" xfId="0" applyNumberFormat="1" applyFont="1" applyFill="1" applyBorder="1" applyAlignment="1">
      <alignment horizontal="center" vertical="center"/>
    </xf>
    <xf numFmtId="176" fontId="12" fillId="3" borderId="3" xfId="0" applyNumberFormat="1" applyFont="1" applyFill="1" applyBorder="1" applyAlignment="1">
      <alignment horizontal="center" vertical="center"/>
    </xf>
    <xf numFmtId="176" fontId="12" fillId="3" borderId="4" xfId="0" applyNumberFormat="1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280"/>
  <sheetViews>
    <sheetView tabSelected="1" zoomScale="110" zoomScaleNormal="11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K1"/>
    </sheetView>
  </sheetViews>
  <sheetFormatPr defaultRowHeight="16.5" x14ac:dyDescent="0.3"/>
  <cols>
    <col min="1" max="1" width="9.875" style="2" customWidth="1"/>
    <col min="2" max="2" width="11.25" style="2" customWidth="1"/>
    <col min="3" max="3" width="18.375" style="2" customWidth="1"/>
    <col min="4" max="4" width="12.5" style="2" customWidth="1"/>
    <col min="5" max="5" width="11.125" style="2" customWidth="1"/>
    <col min="6" max="6" width="13" style="2" customWidth="1"/>
    <col min="7" max="9" width="10" style="60" customWidth="1"/>
    <col min="10" max="10" width="11.875" style="3" bestFit="1" customWidth="1"/>
    <col min="11" max="11" width="9" style="2"/>
    <col min="12" max="16384" width="9" style="1"/>
  </cols>
  <sheetData>
    <row r="1" spans="1:11" ht="38.25" customHeight="1" x14ac:dyDescent="0.3">
      <c r="A1" s="74" t="s">
        <v>83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11" ht="15" customHeight="1" x14ac:dyDescent="0.3">
      <c r="A2" s="46"/>
      <c r="B2" s="46"/>
      <c r="C2" s="46"/>
      <c r="D2" s="46"/>
      <c r="E2" s="46"/>
      <c r="F2" s="45"/>
      <c r="G2" s="46"/>
      <c r="H2" s="47"/>
      <c r="I2" s="47"/>
      <c r="J2" s="44"/>
      <c r="K2" s="48"/>
    </row>
    <row r="3" spans="1:11" ht="39.950000000000003" customHeight="1" x14ac:dyDescent="0.3">
      <c r="A3" s="43" t="s">
        <v>82</v>
      </c>
      <c r="B3" s="43" t="s">
        <v>81</v>
      </c>
      <c r="C3" s="43" t="s">
        <v>84</v>
      </c>
      <c r="D3" s="42" t="s">
        <v>80</v>
      </c>
      <c r="E3" s="42" t="s">
        <v>79</v>
      </c>
      <c r="F3" s="42" t="s">
        <v>122</v>
      </c>
      <c r="G3" s="42" t="s">
        <v>78</v>
      </c>
      <c r="H3" s="42" t="s">
        <v>77</v>
      </c>
      <c r="I3" s="42" t="s">
        <v>76</v>
      </c>
      <c r="J3" s="61" t="s">
        <v>71</v>
      </c>
      <c r="K3" s="41" t="s">
        <v>75</v>
      </c>
    </row>
    <row r="4" spans="1:11" ht="24.95" customHeight="1" x14ac:dyDescent="0.3">
      <c r="A4" s="40" t="s">
        <v>74</v>
      </c>
      <c r="B4" s="40"/>
      <c r="C4" s="40"/>
      <c r="D4" s="39"/>
      <c r="E4" s="39">
        <f t="shared" ref="E4:I4" si="0">SUM(E5,E32)</f>
        <v>1147</v>
      </c>
      <c r="F4" s="39">
        <f t="shared" si="0"/>
        <v>6862</v>
      </c>
      <c r="G4" s="39">
        <f t="shared" si="0"/>
        <v>33</v>
      </c>
      <c r="H4" s="39">
        <f t="shared" si="0"/>
        <v>6829</v>
      </c>
      <c r="I4" s="39">
        <f t="shared" si="0"/>
        <v>5227</v>
      </c>
      <c r="J4" s="38">
        <f t="shared" ref="J4:J35" si="1">I4/H4</f>
        <v>0.7654122126226387</v>
      </c>
      <c r="K4" s="35"/>
    </row>
    <row r="5" spans="1:11" ht="24.95" customHeight="1" x14ac:dyDescent="0.3">
      <c r="A5" s="75" t="s">
        <v>73</v>
      </c>
      <c r="B5" s="37" t="s">
        <v>72</v>
      </c>
      <c r="C5" s="37"/>
      <c r="D5" s="36"/>
      <c r="E5" s="36">
        <f t="shared" ref="E5:I5" si="2">E6+E20</f>
        <v>43</v>
      </c>
      <c r="F5" s="36">
        <f t="shared" si="2"/>
        <v>585</v>
      </c>
      <c r="G5" s="36">
        <f t="shared" si="2"/>
        <v>4</v>
      </c>
      <c r="H5" s="36">
        <f t="shared" si="2"/>
        <v>581</v>
      </c>
      <c r="I5" s="36">
        <f t="shared" si="2"/>
        <v>422</v>
      </c>
      <c r="J5" s="30">
        <f t="shared" si="1"/>
        <v>0.72633390705679868</v>
      </c>
      <c r="K5" s="35"/>
    </row>
    <row r="6" spans="1:11" ht="24.95" customHeight="1" x14ac:dyDescent="0.3">
      <c r="A6" s="76"/>
      <c r="B6" s="78" t="s">
        <v>70</v>
      </c>
      <c r="C6" s="28" t="s">
        <v>2</v>
      </c>
      <c r="D6" s="34"/>
      <c r="E6" s="34">
        <f t="shared" ref="E6:I6" si="3">SUM(E7:E19)</f>
        <v>23</v>
      </c>
      <c r="F6" s="34">
        <f t="shared" si="3"/>
        <v>348</v>
      </c>
      <c r="G6" s="34">
        <f t="shared" si="3"/>
        <v>4</v>
      </c>
      <c r="H6" s="34">
        <f t="shared" si="3"/>
        <v>344</v>
      </c>
      <c r="I6" s="34">
        <f t="shared" si="3"/>
        <v>257</v>
      </c>
      <c r="J6" s="24">
        <f t="shared" si="1"/>
        <v>0.74709302325581395</v>
      </c>
      <c r="K6" s="33"/>
    </row>
    <row r="7" spans="1:11" ht="24.95" customHeight="1" x14ac:dyDescent="0.3">
      <c r="A7" s="76"/>
      <c r="B7" s="79"/>
      <c r="C7" s="68" t="s">
        <v>85</v>
      </c>
      <c r="D7" s="7" t="s">
        <v>17</v>
      </c>
      <c r="E7" s="6">
        <v>4</v>
      </c>
      <c r="F7" s="6">
        <v>80</v>
      </c>
      <c r="G7" s="49"/>
      <c r="H7" s="49">
        <f t="shared" ref="H7:H19" si="4">F7-G7</f>
        <v>80</v>
      </c>
      <c r="I7" s="50">
        <v>59</v>
      </c>
      <c r="J7" s="23">
        <f t="shared" si="1"/>
        <v>0.73750000000000004</v>
      </c>
      <c r="K7" s="4"/>
    </row>
    <row r="8" spans="1:11" ht="24.95" customHeight="1" x14ac:dyDescent="0.3">
      <c r="A8" s="76"/>
      <c r="B8" s="79"/>
      <c r="C8" s="69"/>
      <c r="D8" s="7" t="s">
        <v>16</v>
      </c>
      <c r="E8" s="6">
        <v>2</v>
      </c>
      <c r="F8" s="6">
        <v>30</v>
      </c>
      <c r="G8" s="49"/>
      <c r="H8" s="49">
        <f t="shared" si="4"/>
        <v>30</v>
      </c>
      <c r="I8" s="50">
        <v>24</v>
      </c>
      <c r="J8" s="23">
        <f t="shared" si="1"/>
        <v>0.8</v>
      </c>
      <c r="K8" s="4"/>
    </row>
    <row r="9" spans="1:11" ht="24.95" customHeight="1" x14ac:dyDescent="0.3">
      <c r="A9" s="76"/>
      <c r="B9" s="79"/>
      <c r="C9" s="69"/>
      <c r="D9" s="7" t="s">
        <v>26</v>
      </c>
      <c r="E9" s="6">
        <v>1</v>
      </c>
      <c r="F9" s="6">
        <v>37</v>
      </c>
      <c r="G9" s="49"/>
      <c r="H9" s="49">
        <f t="shared" si="4"/>
        <v>37</v>
      </c>
      <c r="I9" s="50">
        <v>27</v>
      </c>
      <c r="J9" s="23">
        <f t="shared" si="1"/>
        <v>0.72972972972972971</v>
      </c>
      <c r="K9" s="4"/>
    </row>
    <row r="10" spans="1:11" ht="24.95" customHeight="1" x14ac:dyDescent="0.3">
      <c r="A10" s="76"/>
      <c r="B10" s="79"/>
      <c r="C10" s="69"/>
      <c r="D10" s="7" t="s">
        <v>32</v>
      </c>
      <c r="E10" s="6">
        <v>1</v>
      </c>
      <c r="F10" s="6">
        <v>19</v>
      </c>
      <c r="G10" s="49"/>
      <c r="H10" s="49">
        <f t="shared" si="4"/>
        <v>19</v>
      </c>
      <c r="I10" s="50">
        <v>12</v>
      </c>
      <c r="J10" s="23">
        <f t="shared" si="1"/>
        <v>0.63157894736842102</v>
      </c>
      <c r="K10" s="4"/>
    </row>
    <row r="11" spans="1:11" ht="24.95" customHeight="1" x14ac:dyDescent="0.3">
      <c r="A11" s="76"/>
      <c r="B11" s="79"/>
      <c r="C11" s="69"/>
      <c r="D11" s="7" t="s">
        <v>13</v>
      </c>
      <c r="E11" s="6">
        <v>1</v>
      </c>
      <c r="F11" s="6">
        <v>10</v>
      </c>
      <c r="G11" s="49">
        <v>1</v>
      </c>
      <c r="H11" s="49">
        <f t="shared" si="4"/>
        <v>9</v>
      </c>
      <c r="I11" s="50">
        <v>5</v>
      </c>
      <c r="J11" s="23">
        <f t="shared" si="1"/>
        <v>0.55555555555555558</v>
      </c>
      <c r="K11" s="4"/>
    </row>
    <row r="12" spans="1:11" ht="24.95" customHeight="1" x14ac:dyDescent="0.3">
      <c r="A12" s="76"/>
      <c r="B12" s="79"/>
      <c r="C12" s="69"/>
      <c r="D12" s="7" t="s">
        <v>12</v>
      </c>
      <c r="E12" s="6">
        <v>3</v>
      </c>
      <c r="F12" s="6">
        <v>30</v>
      </c>
      <c r="G12" s="49"/>
      <c r="H12" s="49">
        <f t="shared" si="4"/>
        <v>30</v>
      </c>
      <c r="I12" s="50">
        <v>22</v>
      </c>
      <c r="J12" s="23">
        <f t="shared" si="1"/>
        <v>0.73333333333333328</v>
      </c>
      <c r="K12" s="4"/>
    </row>
    <row r="13" spans="1:11" ht="24.95" customHeight="1" x14ac:dyDescent="0.3">
      <c r="A13" s="76"/>
      <c r="B13" s="79"/>
      <c r="C13" s="69"/>
      <c r="D13" s="7" t="s">
        <v>24</v>
      </c>
      <c r="E13" s="6">
        <v>2</v>
      </c>
      <c r="F13" s="6">
        <v>16</v>
      </c>
      <c r="G13" s="49"/>
      <c r="H13" s="49">
        <f t="shared" si="4"/>
        <v>16</v>
      </c>
      <c r="I13" s="50">
        <v>13</v>
      </c>
      <c r="J13" s="23">
        <f t="shared" si="1"/>
        <v>0.8125</v>
      </c>
      <c r="K13" s="4"/>
    </row>
    <row r="14" spans="1:11" ht="24.95" customHeight="1" x14ac:dyDescent="0.3">
      <c r="A14" s="76"/>
      <c r="B14" s="79"/>
      <c r="C14" s="69"/>
      <c r="D14" s="7" t="s">
        <v>10</v>
      </c>
      <c r="E14" s="6">
        <v>1</v>
      </c>
      <c r="F14" s="6">
        <v>8</v>
      </c>
      <c r="G14" s="49"/>
      <c r="H14" s="49">
        <f t="shared" si="4"/>
        <v>8</v>
      </c>
      <c r="I14" s="50">
        <v>7</v>
      </c>
      <c r="J14" s="23">
        <f t="shared" si="1"/>
        <v>0.875</v>
      </c>
      <c r="K14" s="4"/>
    </row>
    <row r="15" spans="1:11" ht="24.95" customHeight="1" x14ac:dyDescent="0.3">
      <c r="A15" s="76"/>
      <c r="B15" s="79"/>
      <c r="C15" s="69"/>
      <c r="D15" s="7" t="s">
        <v>9</v>
      </c>
      <c r="E15" s="6">
        <v>3</v>
      </c>
      <c r="F15" s="6">
        <v>58</v>
      </c>
      <c r="G15" s="49">
        <v>1</v>
      </c>
      <c r="H15" s="49">
        <f t="shared" si="4"/>
        <v>57</v>
      </c>
      <c r="I15" s="50">
        <v>45</v>
      </c>
      <c r="J15" s="23">
        <f t="shared" si="1"/>
        <v>0.78947368421052633</v>
      </c>
      <c r="K15" s="4"/>
    </row>
    <row r="16" spans="1:11" ht="24.95" customHeight="1" x14ac:dyDescent="0.3">
      <c r="A16" s="76"/>
      <c r="B16" s="79"/>
      <c r="C16" s="69"/>
      <c r="D16" s="7" t="s">
        <v>22</v>
      </c>
      <c r="E16" s="6">
        <v>1</v>
      </c>
      <c r="F16" s="6">
        <v>13</v>
      </c>
      <c r="G16" s="49"/>
      <c r="H16" s="49">
        <f t="shared" si="4"/>
        <v>13</v>
      </c>
      <c r="I16" s="50">
        <v>9</v>
      </c>
      <c r="J16" s="23">
        <f t="shared" si="1"/>
        <v>0.69230769230769229</v>
      </c>
      <c r="K16" s="4"/>
    </row>
    <row r="17" spans="1:11" ht="24.95" customHeight="1" x14ac:dyDescent="0.3">
      <c r="A17" s="76"/>
      <c r="B17" s="79"/>
      <c r="C17" s="69"/>
      <c r="D17" s="7" t="s">
        <v>6</v>
      </c>
      <c r="E17" s="6">
        <v>1</v>
      </c>
      <c r="F17" s="6">
        <v>7</v>
      </c>
      <c r="G17" s="49"/>
      <c r="H17" s="49">
        <f t="shared" si="4"/>
        <v>7</v>
      </c>
      <c r="I17" s="50">
        <v>7</v>
      </c>
      <c r="J17" s="23">
        <f t="shared" si="1"/>
        <v>1</v>
      </c>
      <c r="K17" s="4"/>
    </row>
    <row r="18" spans="1:11" ht="24.95" customHeight="1" x14ac:dyDescent="0.3">
      <c r="A18" s="76"/>
      <c r="B18" s="79"/>
      <c r="C18" s="70"/>
      <c r="D18" s="7" t="s">
        <v>31</v>
      </c>
      <c r="E18" s="6">
        <v>2</v>
      </c>
      <c r="F18" s="6">
        <v>38</v>
      </c>
      <c r="G18" s="49">
        <v>2</v>
      </c>
      <c r="H18" s="49">
        <f t="shared" si="4"/>
        <v>36</v>
      </c>
      <c r="I18" s="50">
        <v>26</v>
      </c>
      <c r="J18" s="23">
        <f t="shared" si="1"/>
        <v>0.72222222222222221</v>
      </c>
      <c r="K18" s="4"/>
    </row>
    <row r="19" spans="1:11" ht="24.95" customHeight="1" x14ac:dyDescent="0.3">
      <c r="A19" s="76"/>
      <c r="B19" s="80"/>
      <c r="C19" s="8" t="s">
        <v>86</v>
      </c>
      <c r="D19" s="7" t="s">
        <v>0</v>
      </c>
      <c r="E19" s="6">
        <v>1</v>
      </c>
      <c r="F19" s="6">
        <v>2</v>
      </c>
      <c r="G19" s="49"/>
      <c r="H19" s="49">
        <f t="shared" si="4"/>
        <v>2</v>
      </c>
      <c r="I19" s="50">
        <v>1</v>
      </c>
      <c r="J19" s="23">
        <f t="shared" si="1"/>
        <v>0.5</v>
      </c>
      <c r="K19" s="4"/>
    </row>
    <row r="20" spans="1:11" ht="24.95" customHeight="1" x14ac:dyDescent="0.3">
      <c r="A20" s="76"/>
      <c r="B20" s="65" t="s">
        <v>69</v>
      </c>
      <c r="C20" s="27" t="s">
        <v>2</v>
      </c>
      <c r="D20" s="27"/>
      <c r="E20" s="27">
        <f t="shared" ref="E20:I20" si="5">SUM(E21:E31)</f>
        <v>20</v>
      </c>
      <c r="F20" s="27">
        <f t="shared" si="5"/>
        <v>237</v>
      </c>
      <c r="G20" s="51">
        <f t="shared" si="5"/>
        <v>0</v>
      </c>
      <c r="H20" s="51">
        <f t="shared" si="5"/>
        <v>237</v>
      </c>
      <c r="I20" s="51">
        <f t="shared" si="5"/>
        <v>165</v>
      </c>
      <c r="J20" s="24">
        <f t="shared" si="1"/>
        <v>0.69620253164556967</v>
      </c>
      <c r="K20" s="32"/>
    </row>
    <row r="21" spans="1:11" ht="24.95" customHeight="1" x14ac:dyDescent="0.3">
      <c r="A21" s="76"/>
      <c r="B21" s="66"/>
      <c r="C21" s="68" t="s">
        <v>87</v>
      </c>
      <c r="D21" s="7" t="s">
        <v>26</v>
      </c>
      <c r="E21" s="6">
        <v>1</v>
      </c>
      <c r="F21" s="6">
        <v>21</v>
      </c>
      <c r="G21" s="49"/>
      <c r="H21" s="49">
        <f t="shared" ref="H21:H31" si="6">F21-G21</f>
        <v>21</v>
      </c>
      <c r="I21" s="50">
        <v>18</v>
      </c>
      <c r="J21" s="23">
        <f t="shared" si="1"/>
        <v>0.8571428571428571</v>
      </c>
      <c r="K21" s="4"/>
    </row>
    <row r="22" spans="1:11" ht="24.95" customHeight="1" x14ac:dyDescent="0.3">
      <c r="A22" s="76"/>
      <c r="B22" s="66"/>
      <c r="C22" s="69"/>
      <c r="D22" s="7" t="s">
        <v>14</v>
      </c>
      <c r="E22" s="6">
        <v>1</v>
      </c>
      <c r="F22" s="6">
        <v>12</v>
      </c>
      <c r="G22" s="49"/>
      <c r="H22" s="49">
        <f t="shared" si="6"/>
        <v>12</v>
      </c>
      <c r="I22" s="50">
        <v>11</v>
      </c>
      <c r="J22" s="23">
        <f t="shared" si="1"/>
        <v>0.91666666666666663</v>
      </c>
      <c r="K22" s="4"/>
    </row>
    <row r="23" spans="1:11" ht="24.95" customHeight="1" x14ac:dyDescent="0.3">
      <c r="A23" s="76"/>
      <c r="B23" s="66"/>
      <c r="C23" s="69"/>
      <c r="D23" s="7" t="s">
        <v>32</v>
      </c>
      <c r="E23" s="6">
        <v>2</v>
      </c>
      <c r="F23" s="6">
        <v>23</v>
      </c>
      <c r="G23" s="49"/>
      <c r="H23" s="49">
        <f t="shared" si="6"/>
        <v>23</v>
      </c>
      <c r="I23" s="50">
        <v>14</v>
      </c>
      <c r="J23" s="23">
        <f t="shared" si="1"/>
        <v>0.60869565217391308</v>
      </c>
      <c r="K23" s="4"/>
    </row>
    <row r="24" spans="1:11" ht="24.95" customHeight="1" x14ac:dyDescent="0.3">
      <c r="A24" s="76"/>
      <c r="B24" s="66"/>
      <c r="C24" s="69"/>
      <c r="D24" s="7" t="s">
        <v>12</v>
      </c>
      <c r="E24" s="6">
        <v>8</v>
      </c>
      <c r="F24" s="6">
        <v>92</v>
      </c>
      <c r="G24" s="49"/>
      <c r="H24" s="49">
        <f t="shared" si="6"/>
        <v>92</v>
      </c>
      <c r="I24" s="50">
        <v>61</v>
      </c>
      <c r="J24" s="23">
        <f t="shared" si="1"/>
        <v>0.66304347826086951</v>
      </c>
      <c r="K24" s="4"/>
    </row>
    <row r="25" spans="1:11" ht="24.95" customHeight="1" x14ac:dyDescent="0.3">
      <c r="A25" s="76"/>
      <c r="B25" s="66"/>
      <c r="C25" s="69"/>
      <c r="D25" s="7" t="s">
        <v>24</v>
      </c>
      <c r="E25" s="6">
        <v>1</v>
      </c>
      <c r="F25" s="6">
        <v>7</v>
      </c>
      <c r="G25" s="49"/>
      <c r="H25" s="49">
        <f t="shared" si="6"/>
        <v>7</v>
      </c>
      <c r="I25" s="50">
        <v>3</v>
      </c>
      <c r="J25" s="23">
        <f t="shared" si="1"/>
        <v>0.42857142857142855</v>
      </c>
      <c r="K25" s="4"/>
    </row>
    <row r="26" spans="1:11" ht="24.95" customHeight="1" x14ac:dyDescent="0.3">
      <c r="A26" s="76"/>
      <c r="B26" s="66"/>
      <c r="C26" s="69"/>
      <c r="D26" s="7" t="s">
        <v>10</v>
      </c>
      <c r="E26" s="6">
        <v>1</v>
      </c>
      <c r="F26" s="6">
        <v>5</v>
      </c>
      <c r="G26" s="49"/>
      <c r="H26" s="49">
        <f t="shared" si="6"/>
        <v>5</v>
      </c>
      <c r="I26" s="50">
        <v>3</v>
      </c>
      <c r="J26" s="23">
        <f t="shared" si="1"/>
        <v>0.6</v>
      </c>
      <c r="K26" s="4"/>
    </row>
    <row r="27" spans="1:11" ht="24.95" customHeight="1" x14ac:dyDescent="0.3">
      <c r="A27" s="76"/>
      <c r="B27" s="66"/>
      <c r="C27" s="69"/>
      <c r="D27" s="7" t="s">
        <v>9</v>
      </c>
      <c r="E27" s="6">
        <v>2</v>
      </c>
      <c r="F27" s="6">
        <v>26</v>
      </c>
      <c r="G27" s="49"/>
      <c r="H27" s="49">
        <f t="shared" si="6"/>
        <v>26</v>
      </c>
      <c r="I27" s="50">
        <v>18</v>
      </c>
      <c r="J27" s="23">
        <f t="shared" si="1"/>
        <v>0.69230769230769229</v>
      </c>
      <c r="K27" s="4"/>
    </row>
    <row r="28" spans="1:11" ht="24.95" customHeight="1" x14ac:dyDescent="0.3">
      <c r="A28" s="76"/>
      <c r="B28" s="66"/>
      <c r="C28" s="69"/>
      <c r="D28" s="7" t="s">
        <v>22</v>
      </c>
      <c r="E28" s="6">
        <v>1</v>
      </c>
      <c r="F28" s="6">
        <v>13</v>
      </c>
      <c r="G28" s="49"/>
      <c r="H28" s="49">
        <f t="shared" si="6"/>
        <v>13</v>
      </c>
      <c r="I28" s="50">
        <v>9</v>
      </c>
      <c r="J28" s="23">
        <f t="shared" si="1"/>
        <v>0.69230769230769229</v>
      </c>
      <c r="K28" s="4"/>
    </row>
    <row r="29" spans="1:11" ht="24.95" customHeight="1" x14ac:dyDescent="0.3">
      <c r="A29" s="76"/>
      <c r="B29" s="66"/>
      <c r="C29" s="69"/>
      <c r="D29" s="7" t="s">
        <v>21</v>
      </c>
      <c r="E29" s="6">
        <v>1</v>
      </c>
      <c r="F29" s="6">
        <v>10</v>
      </c>
      <c r="G29" s="49"/>
      <c r="H29" s="49">
        <f t="shared" si="6"/>
        <v>10</v>
      </c>
      <c r="I29" s="50">
        <v>8</v>
      </c>
      <c r="J29" s="23">
        <f t="shared" si="1"/>
        <v>0.8</v>
      </c>
      <c r="K29" s="4"/>
    </row>
    <row r="30" spans="1:11" ht="24.95" customHeight="1" x14ac:dyDescent="0.3">
      <c r="A30" s="76"/>
      <c r="B30" s="66"/>
      <c r="C30" s="69"/>
      <c r="D30" s="7" t="s">
        <v>20</v>
      </c>
      <c r="E30" s="6">
        <v>1</v>
      </c>
      <c r="F30" s="6">
        <v>20</v>
      </c>
      <c r="G30" s="49"/>
      <c r="H30" s="49">
        <f t="shared" si="6"/>
        <v>20</v>
      </c>
      <c r="I30" s="50">
        <v>15</v>
      </c>
      <c r="J30" s="23">
        <f t="shared" si="1"/>
        <v>0.75</v>
      </c>
      <c r="K30" s="4"/>
    </row>
    <row r="31" spans="1:11" ht="24.95" customHeight="1" x14ac:dyDescent="0.3">
      <c r="A31" s="77"/>
      <c r="B31" s="67"/>
      <c r="C31" s="70"/>
      <c r="D31" s="7" t="s">
        <v>6</v>
      </c>
      <c r="E31" s="6">
        <v>1</v>
      </c>
      <c r="F31" s="6">
        <v>8</v>
      </c>
      <c r="G31" s="49"/>
      <c r="H31" s="49">
        <f t="shared" si="6"/>
        <v>8</v>
      </c>
      <c r="I31" s="50">
        <v>5</v>
      </c>
      <c r="J31" s="23">
        <f t="shared" si="1"/>
        <v>0.625</v>
      </c>
      <c r="K31" s="4"/>
    </row>
    <row r="32" spans="1:11" ht="24.95" customHeight="1" x14ac:dyDescent="0.3">
      <c r="A32" s="75" t="s">
        <v>68</v>
      </c>
      <c r="B32" s="31" t="s">
        <v>67</v>
      </c>
      <c r="C32" s="31"/>
      <c r="D32" s="31"/>
      <c r="E32" s="31">
        <f t="shared" ref="E32:I32" si="7">E33+E68+E81+E102+E105+E118+E139+E167+E182+E188+E197+E203+E217+E277+E279</f>
        <v>1104</v>
      </c>
      <c r="F32" s="31">
        <f t="shared" si="7"/>
        <v>6277</v>
      </c>
      <c r="G32" s="52">
        <f t="shared" si="7"/>
        <v>29</v>
      </c>
      <c r="H32" s="52">
        <f t="shared" si="7"/>
        <v>6248</v>
      </c>
      <c r="I32" s="52">
        <f t="shared" si="7"/>
        <v>4805</v>
      </c>
      <c r="J32" s="30">
        <f t="shared" si="1"/>
        <v>0.76904609475032015</v>
      </c>
      <c r="K32" s="29"/>
    </row>
    <row r="33" spans="1:11" ht="24.95" customHeight="1" x14ac:dyDescent="0.3">
      <c r="A33" s="76"/>
      <c r="B33" s="65" t="s">
        <v>66</v>
      </c>
      <c r="C33" s="27" t="s">
        <v>2</v>
      </c>
      <c r="D33" s="27"/>
      <c r="E33" s="28">
        <f t="shared" ref="E33:I33" si="8">SUM(E34:E67)</f>
        <v>515</v>
      </c>
      <c r="F33" s="28">
        <f t="shared" si="8"/>
        <v>3261</v>
      </c>
      <c r="G33" s="51">
        <f t="shared" si="8"/>
        <v>14</v>
      </c>
      <c r="H33" s="51">
        <f t="shared" si="8"/>
        <v>3247</v>
      </c>
      <c r="I33" s="51">
        <f t="shared" si="8"/>
        <v>2561</v>
      </c>
      <c r="J33" s="24">
        <f t="shared" si="1"/>
        <v>0.7887280566676933</v>
      </c>
      <c r="K33" s="4"/>
    </row>
    <row r="34" spans="1:11" ht="24.95" customHeight="1" x14ac:dyDescent="0.3">
      <c r="A34" s="76"/>
      <c r="B34" s="66"/>
      <c r="C34" s="68" t="s">
        <v>88</v>
      </c>
      <c r="D34" s="7" t="s">
        <v>17</v>
      </c>
      <c r="E34" s="6">
        <v>28</v>
      </c>
      <c r="F34" s="6">
        <v>332</v>
      </c>
      <c r="G34" s="49">
        <v>1</v>
      </c>
      <c r="H34" s="49">
        <f t="shared" ref="H34:H67" si="9">F34-G34</f>
        <v>331</v>
      </c>
      <c r="I34" s="50">
        <v>261</v>
      </c>
      <c r="J34" s="23">
        <f t="shared" si="1"/>
        <v>0.78851963746223563</v>
      </c>
      <c r="K34" s="4"/>
    </row>
    <row r="35" spans="1:11" ht="24.95" customHeight="1" x14ac:dyDescent="0.3">
      <c r="A35" s="76"/>
      <c r="B35" s="66"/>
      <c r="C35" s="69"/>
      <c r="D35" s="7" t="s">
        <v>16</v>
      </c>
      <c r="E35" s="6">
        <v>29</v>
      </c>
      <c r="F35" s="6">
        <v>288</v>
      </c>
      <c r="G35" s="49">
        <v>1</v>
      </c>
      <c r="H35" s="49">
        <f t="shared" si="9"/>
        <v>287</v>
      </c>
      <c r="I35" s="50">
        <v>229</v>
      </c>
      <c r="J35" s="23">
        <f t="shared" si="1"/>
        <v>0.79790940766550522</v>
      </c>
      <c r="K35" s="4"/>
    </row>
    <row r="36" spans="1:11" ht="24.95" customHeight="1" x14ac:dyDescent="0.3">
      <c r="A36" s="76"/>
      <c r="B36" s="66"/>
      <c r="C36" s="69"/>
      <c r="D36" s="7" t="s">
        <v>15</v>
      </c>
      <c r="E36" s="6">
        <v>31</v>
      </c>
      <c r="F36" s="6">
        <v>377</v>
      </c>
      <c r="G36" s="49">
        <v>5</v>
      </c>
      <c r="H36" s="49">
        <f t="shared" si="9"/>
        <v>372</v>
      </c>
      <c r="I36" s="50">
        <v>278</v>
      </c>
      <c r="J36" s="23">
        <f t="shared" ref="J36:J67" si="10">I36/H36</f>
        <v>0.74731182795698925</v>
      </c>
      <c r="K36" s="4"/>
    </row>
    <row r="37" spans="1:11" ht="24.95" customHeight="1" x14ac:dyDescent="0.3">
      <c r="A37" s="76"/>
      <c r="B37" s="66"/>
      <c r="C37" s="69"/>
      <c r="D37" s="7" t="s">
        <v>49</v>
      </c>
      <c r="E37" s="6">
        <v>5</v>
      </c>
      <c r="F37" s="6">
        <v>90</v>
      </c>
      <c r="G37" s="49">
        <v>1</v>
      </c>
      <c r="H37" s="49">
        <f t="shared" si="9"/>
        <v>89</v>
      </c>
      <c r="I37" s="50">
        <v>73</v>
      </c>
      <c r="J37" s="23">
        <f t="shared" si="10"/>
        <v>0.8202247191011236</v>
      </c>
      <c r="K37" s="4"/>
    </row>
    <row r="38" spans="1:11" ht="24.95" customHeight="1" x14ac:dyDescent="0.3">
      <c r="A38" s="76"/>
      <c r="B38" s="66"/>
      <c r="C38" s="69"/>
      <c r="D38" s="7" t="s">
        <v>26</v>
      </c>
      <c r="E38" s="6">
        <v>40</v>
      </c>
      <c r="F38" s="6">
        <v>351</v>
      </c>
      <c r="G38" s="49">
        <v>2</v>
      </c>
      <c r="H38" s="49">
        <f t="shared" si="9"/>
        <v>349</v>
      </c>
      <c r="I38" s="50">
        <v>285</v>
      </c>
      <c r="J38" s="23">
        <f t="shared" si="10"/>
        <v>0.81661891117478513</v>
      </c>
      <c r="K38" s="4"/>
    </row>
    <row r="39" spans="1:11" ht="24.95" customHeight="1" x14ac:dyDescent="0.3">
      <c r="A39" s="76"/>
      <c r="B39" s="66"/>
      <c r="C39" s="69"/>
      <c r="D39" s="7" t="s">
        <v>14</v>
      </c>
      <c r="E39" s="6">
        <v>4</v>
      </c>
      <c r="F39" s="6">
        <v>36</v>
      </c>
      <c r="G39" s="49"/>
      <c r="H39" s="49">
        <f t="shared" si="9"/>
        <v>36</v>
      </c>
      <c r="I39" s="50">
        <v>28</v>
      </c>
      <c r="J39" s="23">
        <f t="shared" si="10"/>
        <v>0.77777777777777779</v>
      </c>
      <c r="K39" s="4"/>
    </row>
    <row r="40" spans="1:11" ht="24.95" customHeight="1" x14ac:dyDescent="0.3">
      <c r="A40" s="76"/>
      <c r="B40" s="66"/>
      <c r="C40" s="69"/>
      <c r="D40" s="7" t="s">
        <v>32</v>
      </c>
      <c r="E40" s="6">
        <v>9</v>
      </c>
      <c r="F40" s="6">
        <v>46</v>
      </c>
      <c r="G40" s="49"/>
      <c r="H40" s="49">
        <f t="shared" si="9"/>
        <v>46</v>
      </c>
      <c r="I40" s="50">
        <v>40</v>
      </c>
      <c r="J40" s="23">
        <f t="shared" si="10"/>
        <v>0.86956521739130432</v>
      </c>
      <c r="K40" s="4"/>
    </row>
    <row r="41" spans="1:11" ht="24.95" customHeight="1" x14ac:dyDescent="0.3">
      <c r="A41" s="76"/>
      <c r="B41" s="66"/>
      <c r="C41" s="69"/>
      <c r="D41" s="7" t="s">
        <v>13</v>
      </c>
      <c r="E41" s="6">
        <v>4</v>
      </c>
      <c r="F41" s="6">
        <v>84</v>
      </c>
      <c r="G41" s="49"/>
      <c r="H41" s="49">
        <f t="shared" si="9"/>
        <v>84</v>
      </c>
      <c r="I41" s="50">
        <v>63</v>
      </c>
      <c r="J41" s="23">
        <f t="shared" si="10"/>
        <v>0.75</v>
      </c>
      <c r="K41" s="4"/>
    </row>
    <row r="42" spans="1:11" ht="24.95" customHeight="1" x14ac:dyDescent="0.3">
      <c r="A42" s="76"/>
      <c r="B42" s="66"/>
      <c r="C42" s="69"/>
      <c r="D42" s="7" t="s">
        <v>12</v>
      </c>
      <c r="E42" s="6">
        <v>19</v>
      </c>
      <c r="F42" s="6">
        <v>97</v>
      </c>
      <c r="G42" s="49">
        <v>2</v>
      </c>
      <c r="H42" s="49">
        <f t="shared" si="9"/>
        <v>95</v>
      </c>
      <c r="I42" s="50">
        <v>80</v>
      </c>
      <c r="J42" s="23">
        <f t="shared" si="10"/>
        <v>0.84210526315789469</v>
      </c>
      <c r="K42" s="4"/>
    </row>
    <row r="43" spans="1:11" ht="24.95" customHeight="1" x14ac:dyDescent="0.3">
      <c r="A43" s="76"/>
      <c r="B43" s="66"/>
      <c r="C43" s="69"/>
      <c r="D43" s="7" t="s">
        <v>11</v>
      </c>
      <c r="E43" s="6">
        <v>18</v>
      </c>
      <c r="F43" s="6">
        <v>75</v>
      </c>
      <c r="G43" s="49"/>
      <c r="H43" s="49">
        <f t="shared" si="9"/>
        <v>75</v>
      </c>
      <c r="I43" s="50">
        <v>67</v>
      </c>
      <c r="J43" s="23">
        <f t="shared" si="10"/>
        <v>0.89333333333333331</v>
      </c>
      <c r="K43" s="4"/>
    </row>
    <row r="44" spans="1:11" ht="24.95" customHeight="1" x14ac:dyDescent="0.3">
      <c r="A44" s="76"/>
      <c r="B44" s="66"/>
      <c r="C44" s="69"/>
      <c r="D44" s="7" t="s">
        <v>25</v>
      </c>
      <c r="E44" s="6">
        <v>22</v>
      </c>
      <c r="F44" s="6">
        <v>281</v>
      </c>
      <c r="G44" s="49"/>
      <c r="H44" s="49">
        <f t="shared" si="9"/>
        <v>281</v>
      </c>
      <c r="I44" s="50">
        <v>242</v>
      </c>
      <c r="J44" s="23">
        <f t="shared" si="10"/>
        <v>0.86120996441281139</v>
      </c>
      <c r="K44" s="4"/>
    </row>
    <row r="45" spans="1:11" ht="24.95" customHeight="1" x14ac:dyDescent="0.3">
      <c r="A45" s="76"/>
      <c r="B45" s="66"/>
      <c r="C45" s="69"/>
      <c r="D45" s="7" t="s">
        <v>24</v>
      </c>
      <c r="E45" s="6">
        <v>8</v>
      </c>
      <c r="F45" s="6">
        <v>33</v>
      </c>
      <c r="G45" s="49"/>
      <c r="H45" s="49">
        <f t="shared" si="9"/>
        <v>33</v>
      </c>
      <c r="I45" s="50">
        <v>27</v>
      </c>
      <c r="J45" s="23">
        <f t="shared" si="10"/>
        <v>0.81818181818181823</v>
      </c>
      <c r="K45" s="4"/>
    </row>
    <row r="46" spans="1:11" ht="24.95" customHeight="1" x14ac:dyDescent="0.3">
      <c r="A46" s="76"/>
      <c r="B46" s="66"/>
      <c r="C46" s="69"/>
      <c r="D46" s="7" t="s">
        <v>23</v>
      </c>
      <c r="E46" s="6">
        <v>6</v>
      </c>
      <c r="F46" s="6">
        <v>35</v>
      </c>
      <c r="G46" s="49"/>
      <c r="H46" s="49">
        <f t="shared" si="9"/>
        <v>35</v>
      </c>
      <c r="I46" s="50">
        <v>26</v>
      </c>
      <c r="J46" s="23">
        <f t="shared" si="10"/>
        <v>0.74285714285714288</v>
      </c>
      <c r="K46" s="4"/>
    </row>
    <row r="47" spans="1:11" ht="24.95" customHeight="1" x14ac:dyDescent="0.3">
      <c r="A47" s="76"/>
      <c r="B47" s="66"/>
      <c r="C47" s="69"/>
      <c r="D47" s="7" t="s">
        <v>10</v>
      </c>
      <c r="E47" s="6">
        <v>54</v>
      </c>
      <c r="F47" s="6">
        <v>420</v>
      </c>
      <c r="G47" s="49">
        <v>1</v>
      </c>
      <c r="H47" s="49">
        <f t="shared" si="9"/>
        <v>419</v>
      </c>
      <c r="I47" s="50">
        <v>338</v>
      </c>
      <c r="J47" s="23">
        <f t="shared" si="10"/>
        <v>0.80668257756563244</v>
      </c>
      <c r="K47" s="4"/>
    </row>
    <row r="48" spans="1:11" ht="24.95" customHeight="1" x14ac:dyDescent="0.3">
      <c r="A48" s="76"/>
      <c r="B48" s="66"/>
      <c r="C48" s="69"/>
      <c r="D48" s="7" t="s">
        <v>9</v>
      </c>
      <c r="E48" s="6">
        <v>13</v>
      </c>
      <c r="F48" s="6">
        <v>68</v>
      </c>
      <c r="G48" s="49">
        <v>1</v>
      </c>
      <c r="H48" s="49">
        <f t="shared" si="9"/>
        <v>67</v>
      </c>
      <c r="I48" s="50">
        <v>55</v>
      </c>
      <c r="J48" s="23">
        <f t="shared" si="10"/>
        <v>0.82089552238805974</v>
      </c>
      <c r="K48" s="4"/>
    </row>
    <row r="49" spans="1:11" ht="24.95" customHeight="1" x14ac:dyDescent="0.3">
      <c r="A49" s="76"/>
      <c r="B49" s="66"/>
      <c r="C49" s="69"/>
      <c r="D49" s="7" t="s">
        <v>22</v>
      </c>
      <c r="E49" s="6">
        <v>6</v>
      </c>
      <c r="F49" s="6">
        <v>72</v>
      </c>
      <c r="G49" s="49"/>
      <c r="H49" s="49">
        <f t="shared" si="9"/>
        <v>72</v>
      </c>
      <c r="I49" s="50">
        <v>54</v>
      </c>
      <c r="J49" s="23">
        <f t="shared" si="10"/>
        <v>0.75</v>
      </c>
      <c r="K49" s="4"/>
    </row>
    <row r="50" spans="1:11" ht="24.95" customHeight="1" x14ac:dyDescent="0.3">
      <c r="A50" s="76"/>
      <c r="B50" s="66"/>
      <c r="C50" s="69"/>
      <c r="D50" s="7" t="s">
        <v>21</v>
      </c>
      <c r="E50" s="6">
        <v>6</v>
      </c>
      <c r="F50" s="6">
        <v>58</v>
      </c>
      <c r="G50" s="49"/>
      <c r="H50" s="49">
        <f t="shared" si="9"/>
        <v>58</v>
      </c>
      <c r="I50" s="50">
        <v>46</v>
      </c>
      <c r="J50" s="23">
        <f t="shared" si="10"/>
        <v>0.7931034482758621</v>
      </c>
      <c r="K50" s="4"/>
    </row>
    <row r="51" spans="1:11" ht="24.95" customHeight="1" x14ac:dyDescent="0.3">
      <c r="A51" s="76"/>
      <c r="B51" s="66"/>
      <c r="C51" s="69"/>
      <c r="D51" s="7" t="s">
        <v>8</v>
      </c>
      <c r="E51" s="6">
        <v>1</v>
      </c>
      <c r="F51" s="6">
        <v>20</v>
      </c>
      <c r="G51" s="49"/>
      <c r="H51" s="49">
        <f t="shared" si="9"/>
        <v>20</v>
      </c>
      <c r="I51" s="50">
        <v>14</v>
      </c>
      <c r="J51" s="23">
        <f t="shared" si="10"/>
        <v>0.7</v>
      </c>
      <c r="K51" s="4"/>
    </row>
    <row r="52" spans="1:11" ht="24.95" customHeight="1" x14ac:dyDescent="0.3">
      <c r="A52" s="76"/>
      <c r="B52" s="66"/>
      <c r="C52" s="69"/>
      <c r="D52" s="7" t="s">
        <v>20</v>
      </c>
      <c r="E52" s="6">
        <v>5</v>
      </c>
      <c r="F52" s="6">
        <v>38</v>
      </c>
      <c r="G52" s="53"/>
      <c r="H52" s="49">
        <f t="shared" si="9"/>
        <v>38</v>
      </c>
      <c r="I52" s="50">
        <v>28</v>
      </c>
      <c r="J52" s="23">
        <f t="shared" si="10"/>
        <v>0.73684210526315785</v>
      </c>
      <c r="K52" s="4"/>
    </row>
    <row r="53" spans="1:11" ht="24.95" customHeight="1" x14ac:dyDescent="0.3">
      <c r="A53" s="76"/>
      <c r="B53" s="66"/>
      <c r="C53" s="69"/>
      <c r="D53" s="7" t="s">
        <v>7</v>
      </c>
      <c r="E53" s="6">
        <v>13</v>
      </c>
      <c r="F53" s="6">
        <v>61</v>
      </c>
      <c r="G53" s="49"/>
      <c r="H53" s="49">
        <f t="shared" si="9"/>
        <v>61</v>
      </c>
      <c r="I53" s="50">
        <v>47</v>
      </c>
      <c r="J53" s="23">
        <f t="shared" si="10"/>
        <v>0.77049180327868849</v>
      </c>
      <c r="K53" s="4"/>
    </row>
    <row r="54" spans="1:11" ht="24.95" customHeight="1" x14ac:dyDescent="0.3">
      <c r="A54" s="76"/>
      <c r="B54" s="66"/>
      <c r="C54" s="69"/>
      <c r="D54" s="7" t="s">
        <v>6</v>
      </c>
      <c r="E54" s="6">
        <v>5</v>
      </c>
      <c r="F54" s="6">
        <v>55</v>
      </c>
      <c r="G54" s="53"/>
      <c r="H54" s="49">
        <f t="shared" si="9"/>
        <v>55</v>
      </c>
      <c r="I54" s="50">
        <v>43</v>
      </c>
      <c r="J54" s="23">
        <f t="shared" si="10"/>
        <v>0.78181818181818186</v>
      </c>
      <c r="K54" s="4"/>
    </row>
    <row r="55" spans="1:11" ht="24.95" customHeight="1" x14ac:dyDescent="0.3">
      <c r="A55" s="76"/>
      <c r="B55" s="66"/>
      <c r="C55" s="69"/>
      <c r="D55" s="7" t="s">
        <v>31</v>
      </c>
      <c r="E55" s="6">
        <v>10</v>
      </c>
      <c r="F55" s="6">
        <v>131</v>
      </c>
      <c r="G55" s="49"/>
      <c r="H55" s="49">
        <f t="shared" si="9"/>
        <v>131</v>
      </c>
      <c r="I55" s="50">
        <v>89</v>
      </c>
      <c r="J55" s="23">
        <f t="shared" si="10"/>
        <v>0.67938931297709926</v>
      </c>
      <c r="K55" s="4"/>
    </row>
    <row r="56" spans="1:11" ht="24.95" customHeight="1" x14ac:dyDescent="0.3">
      <c r="A56" s="76"/>
      <c r="B56" s="66"/>
      <c r="C56" s="69"/>
      <c r="D56" s="7" t="s">
        <v>65</v>
      </c>
      <c r="E56" s="6">
        <v>2</v>
      </c>
      <c r="F56" s="6">
        <v>12</v>
      </c>
      <c r="G56" s="49"/>
      <c r="H56" s="49">
        <f t="shared" si="9"/>
        <v>12</v>
      </c>
      <c r="I56" s="50">
        <v>7</v>
      </c>
      <c r="J56" s="23">
        <f t="shared" si="10"/>
        <v>0.58333333333333337</v>
      </c>
      <c r="K56" s="4"/>
    </row>
    <row r="57" spans="1:11" ht="24.95" customHeight="1" x14ac:dyDescent="0.3">
      <c r="A57" s="76"/>
      <c r="B57" s="66"/>
      <c r="C57" s="69"/>
      <c r="D57" s="7" t="s">
        <v>64</v>
      </c>
      <c r="E57" s="6">
        <v>1</v>
      </c>
      <c r="F57" s="6">
        <v>15</v>
      </c>
      <c r="G57" s="49"/>
      <c r="H57" s="49">
        <f t="shared" si="9"/>
        <v>15</v>
      </c>
      <c r="I57" s="50">
        <v>8</v>
      </c>
      <c r="J57" s="23">
        <f t="shared" si="10"/>
        <v>0.53333333333333333</v>
      </c>
      <c r="K57" s="4"/>
    </row>
    <row r="58" spans="1:11" ht="24.95" customHeight="1" x14ac:dyDescent="0.3">
      <c r="A58" s="76"/>
      <c r="B58" s="66"/>
      <c r="C58" s="69"/>
      <c r="D58" s="7" t="s">
        <v>63</v>
      </c>
      <c r="E58" s="6">
        <v>1</v>
      </c>
      <c r="F58" s="6">
        <v>11</v>
      </c>
      <c r="G58" s="49"/>
      <c r="H58" s="49">
        <f t="shared" si="9"/>
        <v>11</v>
      </c>
      <c r="I58" s="50">
        <v>5</v>
      </c>
      <c r="J58" s="23">
        <f t="shared" si="10"/>
        <v>0.45454545454545453</v>
      </c>
      <c r="K58" s="4"/>
    </row>
    <row r="59" spans="1:11" ht="24.95" customHeight="1" x14ac:dyDescent="0.3">
      <c r="A59" s="76"/>
      <c r="B59" s="66"/>
      <c r="C59" s="69"/>
      <c r="D59" s="7" t="s">
        <v>62</v>
      </c>
      <c r="E59" s="6">
        <v>2</v>
      </c>
      <c r="F59" s="6">
        <v>6</v>
      </c>
      <c r="G59" s="49"/>
      <c r="H59" s="49">
        <f t="shared" si="9"/>
        <v>6</v>
      </c>
      <c r="I59" s="50">
        <v>5</v>
      </c>
      <c r="J59" s="23">
        <f t="shared" si="10"/>
        <v>0.83333333333333337</v>
      </c>
      <c r="K59" s="4"/>
    </row>
    <row r="60" spans="1:11" ht="24.95" customHeight="1" x14ac:dyDescent="0.3">
      <c r="A60" s="76"/>
      <c r="B60" s="66"/>
      <c r="C60" s="69"/>
      <c r="D60" s="7" t="s">
        <v>61</v>
      </c>
      <c r="E60" s="6">
        <v>1</v>
      </c>
      <c r="F60" s="6">
        <v>7</v>
      </c>
      <c r="G60" s="49"/>
      <c r="H60" s="49">
        <f t="shared" si="9"/>
        <v>7</v>
      </c>
      <c r="I60" s="50">
        <v>6</v>
      </c>
      <c r="J60" s="23">
        <f t="shared" si="10"/>
        <v>0.8571428571428571</v>
      </c>
      <c r="K60" s="4"/>
    </row>
    <row r="61" spans="1:11" ht="24.95" customHeight="1" x14ac:dyDescent="0.3">
      <c r="A61" s="76"/>
      <c r="B61" s="66"/>
      <c r="C61" s="69"/>
      <c r="D61" s="7" t="s">
        <v>60</v>
      </c>
      <c r="E61" s="6">
        <v>3</v>
      </c>
      <c r="F61" s="6">
        <v>10</v>
      </c>
      <c r="G61" s="49"/>
      <c r="H61" s="49">
        <f t="shared" si="9"/>
        <v>10</v>
      </c>
      <c r="I61" s="50">
        <v>10</v>
      </c>
      <c r="J61" s="23">
        <f t="shared" si="10"/>
        <v>1</v>
      </c>
      <c r="K61" s="4"/>
    </row>
    <row r="62" spans="1:11" ht="24.95" customHeight="1" x14ac:dyDescent="0.3">
      <c r="A62" s="76"/>
      <c r="B62" s="66"/>
      <c r="C62" s="69"/>
      <c r="D62" s="7" t="s">
        <v>59</v>
      </c>
      <c r="E62" s="6">
        <v>1</v>
      </c>
      <c r="F62" s="6">
        <v>9</v>
      </c>
      <c r="G62" s="49"/>
      <c r="H62" s="49">
        <f t="shared" si="9"/>
        <v>9</v>
      </c>
      <c r="I62" s="50">
        <v>4</v>
      </c>
      <c r="J62" s="23">
        <f t="shared" si="10"/>
        <v>0.44444444444444442</v>
      </c>
      <c r="K62" s="4"/>
    </row>
    <row r="63" spans="1:11" ht="24.95" customHeight="1" x14ac:dyDescent="0.3">
      <c r="A63" s="76"/>
      <c r="B63" s="66"/>
      <c r="C63" s="69"/>
      <c r="D63" s="7" t="s">
        <v>58</v>
      </c>
      <c r="E63" s="6">
        <v>1</v>
      </c>
      <c r="F63" s="6">
        <v>11</v>
      </c>
      <c r="G63" s="49"/>
      <c r="H63" s="49">
        <f t="shared" si="9"/>
        <v>11</v>
      </c>
      <c r="I63" s="50">
        <v>6</v>
      </c>
      <c r="J63" s="23">
        <f t="shared" si="10"/>
        <v>0.54545454545454541</v>
      </c>
      <c r="K63" s="4"/>
    </row>
    <row r="64" spans="1:11" ht="24.95" customHeight="1" x14ac:dyDescent="0.3">
      <c r="A64" s="76"/>
      <c r="B64" s="66"/>
      <c r="C64" s="69"/>
      <c r="D64" s="7" t="s">
        <v>57</v>
      </c>
      <c r="E64" s="6">
        <v>1</v>
      </c>
      <c r="F64" s="6">
        <v>3</v>
      </c>
      <c r="G64" s="49"/>
      <c r="H64" s="49">
        <f t="shared" si="9"/>
        <v>3</v>
      </c>
      <c r="I64" s="50">
        <v>2</v>
      </c>
      <c r="J64" s="23">
        <f t="shared" si="10"/>
        <v>0.66666666666666663</v>
      </c>
      <c r="K64" s="4"/>
    </row>
    <row r="65" spans="1:11" ht="24.95" customHeight="1" x14ac:dyDescent="0.3">
      <c r="A65" s="76"/>
      <c r="B65" s="66"/>
      <c r="C65" s="70"/>
      <c r="D65" s="7" t="s">
        <v>56</v>
      </c>
      <c r="E65" s="6">
        <v>1</v>
      </c>
      <c r="F65" s="6">
        <v>3</v>
      </c>
      <c r="G65" s="49"/>
      <c r="H65" s="49">
        <f t="shared" si="9"/>
        <v>3</v>
      </c>
      <c r="I65" s="50">
        <v>2</v>
      </c>
      <c r="J65" s="23">
        <f t="shared" si="10"/>
        <v>0.66666666666666663</v>
      </c>
      <c r="K65" s="4"/>
    </row>
    <row r="66" spans="1:11" ht="24.95" customHeight="1" x14ac:dyDescent="0.3">
      <c r="A66" s="76"/>
      <c r="B66" s="66"/>
      <c r="C66" s="8" t="s">
        <v>89</v>
      </c>
      <c r="D66" s="7" t="s">
        <v>0</v>
      </c>
      <c r="E66" s="6">
        <v>27</v>
      </c>
      <c r="F66" s="6">
        <v>52</v>
      </c>
      <c r="G66" s="49"/>
      <c r="H66" s="49">
        <f t="shared" si="9"/>
        <v>52</v>
      </c>
      <c r="I66" s="50">
        <v>36</v>
      </c>
      <c r="J66" s="23">
        <f t="shared" si="10"/>
        <v>0.69230769230769229</v>
      </c>
      <c r="K66" s="4"/>
    </row>
    <row r="67" spans="1:11" ht="24.95" customHeight="1" x14ac:dyDescent="0.3">
      <c r="A67" s="76"/>
      <c r="B67" s="67"/>
      <c r="C67" s="8" t="s">
        <v>90</v>
      </c>
      <c r="D67" s="7" t="s">
        <v>0</v>
      </c>
      <c r="E67" s="6">
        <v>138</v>
      </c>
      <c r="F67" s="6">
        <v>74</v>
      </c>
      <c r="G67" s="49"/>
      <c r="H67" s="49">
        <f t="shared" si="9"/>
        <v>74</v>
      </c>
      <c r="I67" s="50">
        <v>57</v>
      </c>
      <c r="J67" s="23">
        <f t="shared" si="10"/>
        <v>0.77027027027027029</v>
      </c>
      <c r="K67" s="4"/>
    </row>
    <row r="68" spans="1:11" ht="24.95" customHeight="1" x14ac:dyDescent="0.3">
      <c r="A68" s="76"/>
      <c r="B68" s="65" t="s">
        <v>55</v>
      </c>
      <c r="C68" s="27" t="s">
        <v>54</v>
      </c>
      <c r="D68" s="27"/>
      <c r="E68" s="27">
        <f t="shared" ref="E68:I68" si="11">SUM(E69:E80)</f>
        <v>41</v>
      </c>
      <c r="F68" s="27">
        <f t="shared" si="11"/>
        <v>248</v>
      </c>
      <c r="G68" s="51">
        <f t="shared" si="11"/>
        <v>2</v>
      </c>
      <c r="H68" s="51">
        <f t="shared" si="11"/>
        <v>246</v>
      </c>
      <c r="I68" s="51">
        <f t="shared" si="11"/>
        <v>183</v>
      </c>
      <c r="J68" s="24">
        <f t="shared" ref="J68:J99" si="12">I68/H68</f>
        <v>0.74390243902439024</v>
      </c>
      <c r="K68" s="4"/>
    </row>
    <row r="69" spans="1:11" ht="24.95" customHeight="1" x14ac:dyDescent="0.3">
      <c r="A69" s="76"/>
      <c r="B69" s="66"/>
      <c r="C69" s="68" t="s">
        <v>91</v>
      </c>
      <c r="D69" s="7" t="s">
        <v>17</v>
      </c>
      <c r="E69" s="6">
        <v>5</v>
      </c>
      <c r="F69" s="6">
        <v>66</v>
      </c>
      <c r="G69" s="49"/>
      <c r="H69" s="49">
        <f t="shared" ref="H69:H80" si="13">F69-G69</f>
        <v>66</v>
      </c>
      <c r="I69" s="50">
        <v>40</v>
      </c>
      <c r="J69" s="23">
        <f t="shared" si="12"/>
        <v>0.60606060606060608</v>
      </c>
      <c r="K69" s="4"/>
    </row>
    <row r="70" spans="1:11" ht="24.95" customHeight="1" x14ac:dyDescent="0.3">
      <c r="A70" s="76"/>
      <c r="B70" s="66"/>
      <c r="C70" s="69"/>
      <c r="D70" s="7" t="s">
        <v>16</v>
      </c>
      <c r="E70" s="6">
        <v>6</v>
      </c>
      <c r="F70" s="6">
        <v>60</v>
      </c>
      <c r="G70" s="49"/>
      <c r="H70" s="49">
        <f t="shared" si="13"/>
        <v>60</v>
      </c>
      <c r="I70" s="50">
        <v>49</v>
      </c>
      <c r="J70" s="23">
        <f t="shared" si="12"/>
        <v>0.81666666666666665</v>
      </c>
      <c r="K70" s="4"/>
    </row>
    <row r="71" spans="1:11" ht="24.95" customHeight="1" x14ac:dyDescent="0.3">
      <c r="A71" s="76"/>
      <c r="B71" s="66"/>
      <c r="C71" s="69"/>
      <c r="D71" s="7" t="s">
        <v>15</v>
      </c>
      <c r="E71" s="6">
        <v>1</v>
      </c>
      <c r="F71" s="6">
        <v>14</v>
      </c>
      <c r="G71" s="49"/>
      <c r="H71" s="49">
        <f t="shared" si="13"/>
        <v>14</v>
      </c>
      <c r="I71" s="50">
        <v>8</v>
      </c>
      <c r="J71" s="23">
        <f t="shared" si="12"/>
        <v>0.5714285714285714</v>
      </c>
      <c r="K71" s="4"/>
    </row>
    <row r="72" spans="1:11" ht="24.95" customHeight="1" x14ac:dyDescent="0.3">
      <c r="A72" s="76"/>
      <c r="B72" s="66"/>
      <c r="C72" s="69"/>
      <c r="D72" s="7" t="s">
        <v>26</v>
      </c>
      <c r="E72" s="6">
        <v>3</v>
      </c>
      <c r="F72" s="6">
        <v>35</v>
      </c>
      <c r="G72" s="49">
        <v>2</v>
      </c>
      <c r="H72" s="49">
        <f t="shared" si="13"/>
        <v>33</v>
      </c>
      <c r="I72" s="50">
        <v>24</v>
      </c>
      <c r="J72" s="23">
        <f t="shared" si="12"/>
        <v>0.72727272727272729</v>
      </c>
      <c r="K72" s="4"/>
    </row>
    <row r="73" spans="1:11" ht="24.95" customHeight="1" x14ac:dyDescent="0.3">
      <c r="A73" s="76"/>
      <c r="B73" s="66"/>
      <c r="C73" s="69"/>
      <c r="D73" s="7" t="s">
        <v>12</v>
      </c>
      <c r="E73" s="6">
        <v>2</v>
      </c>
      <c r="F73" s="6">
        <v>4</v>
      </c>
      <c r="G73" s="49"/>
      <c r="H73" s="49">
        <f t="shared" si="13"/>
        <v>4</v>
      </c>
      <c r="I73" s="50">
        <v>4</v>
      </c>
      <c r="J73" s="23">
        <f t="shared" si="12"/>
        <v>1</v>
      </c>
      <c r="K73" s="4"/>
    </row>
    <row r="74" spans="1:11" ht="24.95" customHeight="1" x14ac:dyDescent="0.3">
      <c r="A74" s="76"/>
      <c r="B74" s="66"/>
      <c r="C74" s="69"/>
      <c r="D74" s="7" t="s">
        <v>25</v>
      </c>
      <c r="E74" s="6">
        <v>1</v>
      </c>
      <c r="F74" s="6">
        <v>12</v>
      </c>
      <c r="G74" s="49"/>
      <c r="H74" s="49">
        <f t="shared" si="13"/>
        <v>12</v>
      </c>
      <c r="I74" s="50">
        <v>10</v>
      </c>
      <c r="J74" s="23">
        <f t="shared" si="12"/>
        <v>0.83333333333333337</v>
      </c>
      <c r="K74" s="4"/>
    </row>
    <row r="75" spans="1:11" ht="24.95" customHeight="1" x14ac:dyDescent="0.3">
      <c r="A75" s="76"/>
      <c r="B75" s="66"/>
      <c r="C75" s="69"/>
      <c r="D75" s="7" t="s">
        <v>10</v>
      </c>
      <c r="E75" s="6">
        <v>3</v>
      </c>
      <c r="F75" s="6">
        <v>18</v>
      </c>
      <c r="G75" s="49"/>
      <c r="H75" s="49">
        <f t="shared" si="13"/>
        <v>18</v>
      </c>
      <c r="I75" s="50">
        <v>14</v>
      </c>
      <c r="J75" s="23">
        <f t="shared" si="12"/>
        <v>0.77777777777777779</v>
      </c>
      <c r="K75" s="4"/>
    </row>
    <row r="76" spans="1:11" ht="24.95" customHeight="1" x14ac:dyDescent="0.3">
      <c r="A76" s="76"/>
      <c r="B76" s="66"/>
      <c r="C76" s="69"/>
      <c r="D76" s="7" t="s">
        <v>9</v>
      </c>
      <c r="E76" s="6">
        <v>2</v>
      </c>
      <c r="F76" s="6">
        <v>14</v>
      </c>
      <c r="G76" s="49"/>
      <c r="H76" s="49">
        <f t="shared" si="13"/>
        <v>14</v>
      </c>
      <c r="I76" s="50">
        <v>12</v>
      </c>
      <c r="J76" s="23">
        <f t="shared" si="12"/>
        <v>0.8571428571428571</v>
      </c>
      <c r="K76" s="4"/>
    </row>
    <row r="77" spans="1:11" ht="24.95" customHeight="1" x14ac:dyDescent="0.3">
      <c r="A77" s="76"/>
      <c r="B77" s="66"/>
      <c r="C77" s="69"/>
      <c r="D77" s="7" t="s">
        <v>22</v>
      </c>
      <c r="E77" s="6">
        <v>2</v>
      </c>
      <c r="F77" s="6">
        <v>7</v>
      </c>
      <c r="G77" s="49"/>
      <c r="H77" s="49">
        <f t="shared" si="13"/>
        <v>7</v>
      </c>
      <c r="I77" s="50">
        <v>6</v>
      </c>
      <c r="J77" s="23">
        <f t="shared" si="12"/>
        <v>0.8571428571428571</v>
      </c>
      <c r="K77" s="4"/>
    </row>
    <row r="78" spans="1:11" ht="24.95" customHeight="1" x14ac:dyDescent="0.3">
      <c r="A78" s="76"/>
      <c r="B78" s="66"/>
      <c r="C78" s="69"/>
      <c r="D78" s="7" t="s">
        <v>8</v>
      </c>
      <c r="E78" s="6">
        <v>1</v>
      </c>
      <c r="F78" s="6">
        <v>8</v>
      </c>
      <c r="G78" s="49"/>
      <c r="H78" s="49">
        <f t="shared" si="13"/>
        <v>8</v>
      </c>
      <c r="I78" s="50">
        <v>7</v>
      </c>
      <c r="J78" s="23">
        <f t="shared" si="12"/>
        <v>0.875</v>
      </c>
      <c r="K78" s="4"/>
    </row>
    <row r="79" spans="1:11" ht="24.95" customHeight="1" x14ac:dyDescent="0.3">
      <c r="A79" s="76"/>
      <c r="B79" s="66"/>
      <c r="C79" s="70"/>
      <c r="D79" s="7" t="s">
        <v>7</v>
      </c>
      <c r="E79" s="6">
        <v>3</v>
      </c>
      <c r="F79" s="6">
        <v>5</v>
      </c>
      <c r="G79" s="49"/>
      <c r="H79" s="49">
        <f t="shared" si="13"/>
        <v>5</v>
      </c>
      <c r="I79" s="50">
        <v>4</v>
      </c>
      <c r="J79" s="23">
        <f t="shared" si="12"/>
        <v>0.8</v>
      </c>
      <c r="K79" s="4"/>
    </row>
    <row r="80" spans="1:11" ht="24.95" customHeight="1" x14ac:dyDescent="0.3">
      <c r="A80" s="76"/>
      <c r="B80" s="67"/>
      <c r="C80" s="8" t="s">
        <v>92</v>
      </c>
      <c r="D80" s="7" t="s">
        <v>0</v>
      </c>
      <c r="E80" s="6">
        <v>12</v>
      </c>
      <c r="F80" s="6">
        <v>5</v>
      </c>
      <c r="G80" s="49"/>
      <c r="H80" s="49">
        <f t="shared" si="13"/>
        <v>5</v>
      </c>
      <c r="I80" s="50">
        <v>5</v>
      </c>
      <c r="J80" s="23">
        <f t="shared" si="12"/>
        <v>1</v>
      </c>
      <c r="K80" s="4"/>
    </row>
    <row r="81" spans="1:11" ht="24.95" customHeight="1" x14ac:dyDescent="0.3">
      <c r="A81" s="76"/>
      <c r="B81" s="65" t="s">
        <v>53</v>
      </c>
      <c r="C81" s="27" t="s">
        <v>2</v>
      </c>
      <c r="D81" s="27"/>
      <c r="E81" s="27">
        <f t="shared" ref="E81:I81" si="14">SUM(E82:E101)</f>
        <v>96</v>
      </c>
      <c r="F81" s="27">
        <f t="shared" si="14"/>
        <v>612</v>
      </c>
      <c r="G81" s="51">
        <f t="shared" si="14"/>
        <v>3</v>
      </c>
      <c r="H81" s="51">
        <f t="shared" si="14"/>
        <v>609</v>
      </c>
      <c r="I81" s="51">
        <f t="shared" si="14"/>
        <v>472</v>
      </c>
      <c r="J81" s="24">
        <f t="shared" si="12"/>
        <v>0.77504105090311992</v>
      </c>
      <c r="K81" s="4"/>
    </row>
    <row r="82" spans="1:11" ht="24.95" customHeight="1" x14ac:dyDescent="0.3">
      <c r="A82" s="76"/>
      <c r="B82" s="66"/>
      <c r="C82" s="68" t="s">
        <v>93</v>
      </c>
      <c r="D82" s="7" t="s">
        <v>17</v>
      </c>
      <c r="E82" s="6">
        <v>5</v>
      </c>
      <c r="F82" s="6">
        <v>37</v>
      </c>
      <c r="G82" s="49"/>
      <c r="H82" s="49">
        <f t="shared" ref="H82:H101" si="15">F82-G82</f>
        <v>37</v>
      </c>
      <c r="I82" s="50">
        <v>25</v>
      </c>
      <c r="J82" s="23">
        <f t="shared" si="12"/>
        <v>0.67567567567567566</v>
      </c>
      <c r="K82" s="4"/>
    </row>
    <row r="83" spans="1:11" ht="24.95" customHeight="1" x14ac:dyDescent="0.3">
      <c r="A83" s="76"/>
      <c r="B83" s="66"/>
      <c r="C83" s="69"/>
      <c r="D83" s="7" t="s">
        <v>16</v>
      </c>
      <c r="E83" s="6">
        <v>4</v>
      </c>
      <c r="F83" s="6">
        <v>47</v>
      </c>
      <c r="G83" s="49"/>
      <c r="H83" s="49">
        <f t="shared" si="15"/>
        <v>47</v>
      </c>
      <c r="I83" s="50">
        <v>37</v>
      </c>
      <c r="J83" s="23">
        <f t="shared" si="12"/>
        <v>0.78723404255319152</v>
      </c>
      <c r="K83" s="4"/>
    </row>
    <row r="84" spans="1:11" ht="24.95" customHeight="1" x14ac:dyDescent="0.3">
      <c r="A84" s="76"/>
      <c r="B84" s="66"/>
      <c r="C84" s="69"/>
      <c r="D84" s="7" t="s">
        <v>15</v>
      </c>
      <c r="E84" s="6">
        <v>3</v>
      </c>
      <c r="F84" s="6">
        <v>27</v>
      </c>
      <c r="G84" s="49"/>
      <c r="H84" s="49">
        <f t="shared" si="15"/>
        <v>27</v>
      </c>
      <c r="I84" s="50">
        <v>20</v>
      </c>
      <c r="J84" s="23">
        <f t="shared" si="12"/>
        <v>0.7407407407407407</v>
      </c>
      <c r="K84" s="4"/>
    </row>
    <row r="85" spans="1:11" ht="24.95" customHeight="1" x14ac:dyDescent="0.3">
      <c r="A85" s="76"/>
      <c r="B85" s="66"/>
      <c r="C85" s="69"/>
      <c r="D85" s="7" t="s">
        <v>49</v>
      </c>
      <c r="E85" s="6">
        <v>3</v>
      </c>
      <c r="F85" s="6">
        <v>39</v>
      </c>
      <c r="G85" s="49"/>
      <c r="H85" s="49">
        <f t="shared" si="15"/>
        <v>39</v>
      </c>
      <c r="I85" s="50">
        <v>33</v>
      </c>
      <c r="J85" s="23">
        <f t="shared" si="12"/>
        <v>0.84615384615384615</v>
      </c>
      <c r="K85" s="4"/>
    </row>
    <row r="86" spans="1:11" ht="24.95" customHeight="1" x14ac:dyDescent="0.3">
      <c r="A86" s="76"/>
      <c r="B86" s="66"/>
      <c r="C86" s="69"/>
      <c r="D86" s="7" t="s">
        <v>26</v>
      </c>
      <c r="E86" s="6">
        <v>9</v>
      </c>
      <c r="F86" s="6">
        <v>66</v>
      </c>
      <c r="G86" s="49"/>
      <c r="H86" s="49">
        <f t="shared" si="15"/>
        <v>66</v>
      </c>
      <c r="I86" s="50">
        <v>49</v>
      </c>
      <c r="J86" s="23">
        <f t="shared" si="12"/>
        <v>0.74242424242424243</v>
      </c>
      <c r="K86" s="4"/>
    </row>
    <row r="87" spans="1:11" ht="24.95" customHeight="1" x14ac:dyDescent="0.3">
      <c r="A87" s="76"/>
      <c r="B87" s="66"/>
      <c r="C87" s="69"/>
      <c r="D87" s="7" t="s">
        <v>14</v>
      </c>
      <c r="E87" s="6">
        <v>1</v>
      </c>
      <c r="F87" s="6">
        <v>15</v>
      </c>
      <c r="G87" s="49"/>
      <c r="H87" s="49">
        <f t="shared" si="15"/>
        <v>15</v>
      </c>
      <c r="I87" s="50">
        <v>12</v>
      </c>
      <c r="J87" s="23">
        <f t="shared" si="12"/>
        <v>0.8</v>
      </c>
      <c r="K87" s="4"/>
    </row>
    <row r="88" spans="1:11" ht="24.95" customHeight="1" x14ac:dyDescent="0.3">
      <c r="A88" s="76"/>
      <c r="B88" s="66"/>
      <c r="C88" s="69"/>
      <c r="D88" s="7" t="s">
        <v>32</v>
      </c>
      <c r="E88" s="6">
        <v>4</v>
      </c>
      <c r="F88" s="6">
        <v>29</v>
      </c>
      <c r="G88" s="49"/>
      <c r="H88" s="49">
        <f t="shared" si="15"/>
        <v>29</v>
      </c>
      <c r="I88" s="50">
        <v>23</v>
      </c>
      <c r="J88" s="23">
        <f t="shared" si="12"/>
        <v>0.7931034482758621</v>
      </c>
      <c r="K88" s="4"/>
    </row>
    <row r="89" spans="1:11" ht="24.95" customHeight="1" x14ac:dyDescent="0.3">
      <c r="A89" s="76"/>
      <c r="B89" s="66"/>
      <c r="C89" s="69"/>
      <c r="D89" s="7" t="s">
        <v>12</v>
      </c>
      <c r="E89" s="6">
        <v>2</v>
      </c>
      <c r="F89" s="6">
        <v>21</v>
      </c>
      <c r="G89" s="49"/>
      <c r="H89" s="49">
        <f t="shared" si="15"/>
        <v>21</v>
      </c>
      <c r="I89" s="50">
        <v>18</v>
      </c>
      <c r="J89" s="23">
        <f t="shared" si="12"/>
        <v>0.8571428571428571</v>
      </c>
      <c r="K89" s="4"/>
    </row>
    <row r="90" spans="1:11" ht="24.95" customHeight="1" x14ac:dyDescent="0.3">
      <c r="A90" s="76"/>
      <c r="B90" s="66"/>
      <c r="C90" s="69"/>
      <c r="D90" s="7" t="s">
        <v>11</v>
      </c>
      <c r="E90" s="6">
        <v>2</v>
      </c>
      <c r="F90" s="6">
        <v>13</v>
      </c>
      <c r="G90" s="49"/>
      <c r="H90" s="49">
        <f t="shared" si="15"/>
        <v>13</v>
      </c>
      <c r="I90" s="50">
        <v>11</v>
      </c>
      <c r="J90" s="23">
        <f t="shared" si="12"/>
        <v>0.84615384615384615</v>
      </c>
      <c r="K90" s="4"/>
    </row>
    <row r="91" spans="1:11" ht="24.95" customHeight="1" x14ac:dyDescent="0.3">
      <c r="A91" s="76"/>
      <c r="B91" s="66"/>
      <c r="C91" s="69"/>
      <c r="D91" s="7" t="s">
        <v>25</v>
      </c>
      <c r="E91" s="6">
        <v>3</v>
      </c>
      <c r="F91" s="6">
        <v>39</v>
      </c>
      <c r="G91" s="49"/>
      <c r="H91" s="49">
        <f t="shared" si="15"/>
        <v>39</v>
      </c>
      <c r="I91" s="50">
        <v>27</v>
      </c>
      <c r="J91" s="23">
        <f t="shared" si="12"/>
        <v>0.69230769230769229</v>
      </c>
      <c r="K91" s="4"/>
    </row>
    <row r="92" spans="1:11" ht="24.95" customHeight="1" x14ac:dyDescent="0.3">
      <c r="A92" s="76"/>
      <c r="B92" s="66"/>
      <c r="C92" s="69"/>
      <c r="D92" s="7" t="s">
        <v>24</v>
      </c>
      <c r="E92" s="6">
        <v>2</v>
      </c>
      <c r="F92" s="6">
        <v>19</v>
      </c>
      <c r="G92" s="49">
        <v>1</v>
      </c>
      <c r="H92" s="49">
        <f t="shared" si="15"/>
        <v>18</v>
      </c>
      <c r="I92" s="50">
        <v>12</v>
      </c>
      <c r="J92" s="23">
        <f t="shared" si="12"/>
        <v>0.66666666666666663</v>
      </c>
      <c r="K92" s="4"/>
    </row>
    <row r="93" spans="1:11" ht="24.95" customHeight="1" x14ac:dyDescent="0.3">
      <c r="A93" s="76"/>
      <c r="B93" s="66"/>
      <c r="C93" s="69"/>
      <c r="D93" s="7" t="s">
        <v>10</v>
      </c>
      <c r="E93" s="6">
        <v>3</v>
      </c>
      <c r="F93" s="6">
        <v>14</v>
      </c>
      <c r="G93" s="49">
        <v>1</v>
      </c>
      <c r="H93" s="49">
        <f t="shared" si="15"/>
        <v>13</v>
      </c>
      <c r="I93" s="50">
        <v>7</v>
      </c>
      <c r="J93" s="23">
        <f t="shared" si="12"/>
        <v>0.53846153846153844</v>
      </c>
      <c r="K93" s="4"/>
    </row>
    <row r="94" spans="1:11" ht="24.95" customHeight="1" x14ac:dyDescent="0.3">
      <c r="A94" s="76"/>
      <c r="B94" s="66"/>
      <c r="C94" s="69"/>
      <c r="D94" s="7" t="s">
        <v>9</v>
      </c>
      <c r="E94" s="6">
        <v>10</v>
      </c>
      <c r="F94" s="6">
        <v>107</v>
      </c>
      <c r="G94" s="49"/>
      <c r="H94" s="49">
        <f t="shared" si="15"/>
        <v>107</v>
      </c>
      <c r="I94" s="50">
        <v>86</v>
      </c>
      <c r="J94" s="23">
        <f t="shared" si="12"/>
        <v>0.80373831775700932</v>
      </c>
      <c r="K94" s="4"/>
    </row>
    <row r="95" spans="1:11" ht="24.95" customHeight="1" x14ac:dyDescent="0.3">
      <c r="A95" s="76"/>
      <c r="B95" s="66"/>
      <c r="C95" s="69"/>
      <c r="D95" s="7" t="s">
        <v>22</v>
      </c>
      <c r="E95" s="6">
        <v>3</v>
      </c>
      <c r="F95" s="6">
        <v>20</v>
      </c>
      <c r="G95" s="49">
        <v>1</v>
      </c>
      <c r="H95" s="49">
        <f t="shared" si="15"/>
        <v>19</v>
      </c>
      <c r="I95" s="50">
        <v>14</v>
      </c>
      <c r="J95" s="23">
        <f t="shared" si="12"/>
        <v>0.73684210526315785</v>
      </c>
      <c r="K95" s="4"/>
    </row>
    <row r="96" spans="1:11" ht="24.95" customHeight="1" x14ac:dyDescent="0.3">
      <c r="A96" s="76"/>
      <c r="B96" s="66"/>
      <c r="C96" s="69"/>
      <c r="D96" s="7" t="s">
        <v>8</v>
      </c>
      <c r="E96" s="6">
        <v>2</v>
      </c>
      <c r="F96" s="6">
        <v>16</v>
      </c>
      <c r="G96" s="49"/>
      <c r="H96" s="49">
        <f t="shared" si="15"/>
        <v>16</v>
      </c>
      <c r="I96" s="50">
        <v>13</v>
      </c>
      <c r="J96" s="23">
        <f t="shared" si="12"/>
        <v>0.8125</v>
      </c>
      <c r="K96" s="4"/>
    </row>
    <row r="97" spans="1:11" ht="24.95" customHeight="1" x14ac:dyDescent="0.3">
      <c r="A97" s="76"/>
      <c r="B97" s="66"/>
      <c r="C97" s="69"/>
      <c r="D97" s="7" t="s">
        <v>20</v>
      </c>
      <c r="E97" s="6">
        <v>2</v>
      </c>
      <c r="F97" s="6">
        <v>21</v>
      </c>
      <c r="G97" s="49"/>
      <c r="H97" s="49">
        <f t="shared" si="15"/>
        <v>21</v>
      </c>
      <c r="I97" s="50">
        <v>19</v>
      </c>
      <c r="J97" s="23">
        <f t="shared" si="12"/>
        <v>0.90476190476190477</v>
      </c>
      <c r="K97" s="4"/>
    </row>
    <row r="98" spans="1:11" ht="24.95" customHeight="1" x14ac:dyDescent="0.3">
      <c r="A98" s="76"/>
      <c r="B98" s="66"/>
      <c r="C98" s="69"/>
      <c r="D98" s="7" t="s">
        <v>7</v>
      </c>
      <c r="E98" s="6">
        <v>3</v>
      </c>
      <c r="F98" s="6">
        <v>17</v>
      </c>
      <c r="G98" s="49"/>
      <c r="H98" s="49">
        <f t="shared" si="15"/>
        <v>17</v>
      </c>
      <c r="I98" s="50">
        <v>13</v>
      </c>
      <c r="J98" s="23">
        <f t="shared" si="12"/>
        <v>0.76470588235294112</v>
      </c>
      <c r="K98" s="4"/>
    </row>
    <row r="99" spans="1:11" ht="24.95" customHeight="1" x14ac:dyDescent="0.3">
      <c r="A99" s="76"/>
      <c r="B99" s="66"/>
      <c r="C99" s="70"/>
      <c r="D99" s="7" t="s">
        <v>6</v>
      </c>
      <c r="E99" s="6">
        <v>5</v>
      </c>
      <c r="F99" s="6">
        <v>27</v>
      </c>
      <c r="G99" s="49"/>
      <c r="H99" s="49">
        <f t="shared" si="15"/>
        <v>27</v>
      </c>
      <c r="I99" s="50">
        <v>23</v>
      </c>
      <c r="J99" s="23">
        <f t="shared" si="12"/>
        <v>0.85185185185185186</v>
      </c>
      <c r="K99" s="4"/>
    </row>
    <row r="100" spans="1:11" ht="24.95" customHeight="1" x14ac:dyDescent="0.3">
      <c r="A100" s="76"/>
      <c r="B100" s="66"/>
      <c r="C100" s="8" t="s">
        <v>94</v>
      </c>
      <c r="D100" s="7" t="s">
        <v>0</v>
      </c>
      <c r="E100" s="6">
        <v>8</v>
      </c>
      <c r="F100" s="6">
        <v>13</v>
      </c>
      <c r="G100" s="49"/>
      <c r="H100" s="49">
        <f t="shared" si="15"/>
        <v>13</v>
      </c>
      <c r="I100" s="50">
        <v>11</v>
      </c>
      <c r="J100" s="23">
        <f t="shared" ref="J100:J131" si="16">I100/H100</f>
        <v>0.84615384615384615</v>
      </c>
      <c r="K100" s="4"/>
    </row>
    <row r="101" spans="1:11" ht="24.95" customHeight="1" x14ac:dyDescent="0.3">
      <c r="A101" s="76"/>
      <c r="B101" s="67"/>
      <c r="C101" s="8" t="s">
        <v>95</v>
      </c>
      <c r="D101" s="7" t="s">
        <v>0</v>
      </c>
      <c r="E101" s="6">
        <v>22</v>
      </c>
      <c r="F101" s="6">
        <v>25</v>
      </c>
      <c r="G101" s="49"/>
      <c r="H101" s="49">
        <f t="shared" si="15"/>
        <v>25</v>
      </c>
      <c r="I101" s="50">
        <v>19</v>
      </c>
      <c r="J101" s="23">
        <f t="shared" si="16"/>
        <v>0.76</v>
      </c>
      <c r="K101" s="4"/>
    </row>
    <row r="102" spans="1:11" ht="24.95" customHeight="1" x14ac:dyDescent="0.3">
      <c r="A102" s="76"/>
      <c r="B102" s="65" t="s">
        <v>52</v>
      </c>
      <c r="C102" s="27" t="s">
        <v>37</v>
      </c>
      <c r="D102" s="27"/>
      <c r="E102" s="27">
        <f t="shared" ref="E102:I102" si="17">SUM(E103:E104)</f>
        <v>25</v>
      </c>
      <c r="F102" s="27">
        <f t="shared" si="17"/>
        <v>170</v>
      </c>
      <c r="G102" s="51">
        <f t="shared" si="17"/>
        <v>0</v>
      </c>
      <c r="H102" s="51">
        <f t="shared" si="17"/>
        <v>170</v>
      </c>
      <c r="I102" s="51">
        <f t="shared" si="17"/>
        <v>110</v>
      </c>
      <c r="J102" s="24">
        <f t="shared" si="16"/>
        <v>0.6470588235294118</v>
      </c>
      <c r="K102" s="4"/>
    </row>
    <row r="103" spans="1:11" ht="24.95" customHeight="1" x14ac:dyDescent="0.3">
      <c r="A103" s="76"/>
      <c r="B103" s="66"/>
      <c r="C103" s="8" t="s">
        <v>96</v>
      </c>
      <c r="D103" s="7" t="s">
        <v>0</v>
      </c>
      <c r="E103" s="6">
        <v>17</v>
      </c>
      <c r="F103" s="6">
        <v>166</v>
      </c>
      <c r="G103" s="49"/>
      <c r="H103" s="49">
        <f>F103-G103</f>
        <v>166</v>
      </c>
      <c r="I103" s="50">
        <v>107</v>
      </c>
      <c r="J103" s="23">
        <f t="shared" si="16"/>
        <v>0.64457831325301207</v>
      </c>
      <c r="K103" s="4"/>
    </row>
    <row r="104" spans="1:11" ht="24.95" customHeight="1" x14ac:dyDescent="0.3">
      <c r="A104" s="76"/>
      <c r="B104" s="67"/>
      <c r="C104" s="8" t="s">
        <v>97</v>
      </c>
      <c r="D104" s="7" t="s">
        <v>0</v>
      </c>
      <c r="E104" s="6">
        <v>8</v>
      </c>
      <c r="F104" s="6">
        <v>4</v>
      </c>
      <c r="G104" s="49"/>
      <c r="H104" s="49">
        <f>F104-G104</f>
        <v>4</v>
      </c>
      <c r="I104" s="50">
        <v>3</v>
      </c>
      <c r="J104" s="23">
        <f t="shared" si="16"/>
        <v>0.75</v>
      </c>
      <c r="K104" s="4"/>
    </row>
    <row r="105" spans="1:11" ht="24.95" customHeight="1" x14ac:dyDescent="0.3">
      <c r="A105" s="76"/>
      <c r="B105" s="65" t="s">
        <v>121</v>
      </c>
      <c r="C105" s="27" t="s">
        <v>54</v>
      </c>
      <c r="D105" s="27"/>
      <c r="E105" s="27">
        <f t="shared" ref="E105:I105" si="18">SUM(E106:E117)</f>
        <v>18</v>
      </c>
      <c r="F105" s="27">
        <f t="shared" si="18"/>
        <v>91</v>
      </c>
      <c r="G105" s="51">
        <f t="shared" si="18"/>
        <v>2</v>
      </c>
      <c r="H105" s="51">
        <f t="shared" si="18"/>
        <v>89</v>
      </c>
      <c r="I105" s="51">
        <f t="shared" si="18"/>
        <v>62</v>
      </c>
      <c r="J105" s="24">
        <f t="shared" si="16"/>
        <v>0.6966292134831461</v>
      </c>
      <c r="K105" s="4"/>
    </row>
    <row r="106" spans="1:11" ht="24.95" customHeight="1" x14ac:dyDescent="0.3">
      <c r="A106" s="76"/>
      <c r="B106" s="66"/>
      <c r="C106" s="68" t="s">
        <v>98</v>
      </c>
      <c r="D106" s="7" t="s">
        <v>17</v>
      </c>
      <c r="E106" s="6">
        <v>2</v>
      </c>
      <c r="F106" s="6">
        <v>13</v>
      </c>
      <c r="G106" s="49"/>
      <c r="H106" s="49">
        <f t="shared" ref="H106:H117" si="19">F106-G106</f>
        <v>13</v>
      </c>
      <c r="I106" s="50">
        <v>8</v>
      </c>
      <c r="J106" s="23">
        <f t="shared" si="16"/>
        <v>0.61538461538461542</v>
      </c>
      <c r="K106" s="4"/>
    </row>
    <row r="107" spans="1:11" ht="24.95" customHeight="1" x14ac:dyDescent="0.3">
      <c r="A107" s="76"/>
      <c r="B107" s="66"/>
      <c r="C107" s="69"/>
      <c r="D107" s="7" t="s">
        <v>16</v>
      </c>
      <c r="E107" s="6">
        <v>3</v>
      </c>
      <c r="F107" s="6">
        <v>18</v>
      </c>
      <c r="G107" s="49"/>
      <c r="H107" s="49">
        <f t="shared" si="19"/>
        <v>18</v>
      </c>
      <c r="I107" s="50">
        <v>14</v>
      </c>
      <c r="J107" s="23">
        <f t="shared" si="16"/>
        <v>0.77777777777777779</v>
      </c>
      <c r="K107" s="4"/>
    </row>
    <row r="108" spans="1:11" ht="24.95" customHeight="1" x14ac:dyDescent="0.3">
      <c r="A108" s="76"/>
      <c r="B108" s="66"/>
      <c r="C108" s="69"/>
      <c r="D108" s="7" t="s">
        <v>26</v>
      </c>
      <c r="E108" s="6">
        <v>2</v>
      </c>
      <c r="F108" s="6">
        <v>11</v>
      </c>
      <c r="G108" s="49"/>
      <c r="H108" s="49">
        <f t="shared" si="19"/>
        <v>11</v>
      </c>
      <c r="I108" s="50">
        <v>9</v>
      </c>
      <c r="J108" s="23">
        <f t="shared" si="16"/>
        <v>0.81818181818181823</v>
      </c>
      <c r="K108" s="4"/>
    </row>
    <row r="109" spans="1:11" ht="24.95" customHeight="1" x14ac:dyDescent="0.3">
      <c r="A109" s="76"/>
      <c r="B109" s="66"/>
      <c r="C109" s="69"/>
      <c r="D109" s="7" t="s">
        <v>32</v>
      </c>
      <c r="E109" s="6">
        <v>1</v>
      </c>
      <c r="F109" s="6">
        <v>3</v>
      </c>
      <c r="G109" s="49"/>
      <c r="H109" s="49">
        <f t="shared" si="19"/>
        <v>3</v>
      </c>
      <c r="I109" s="50">
        <v>3</v>
      </c>
      <c r="J109" s="23">
        <f t="shared" si="16"/>
        <v>1</v>
      </c>
      <c r="K109" s="4"/>
    </row>
    <row r="110" spans="1:11" ht="24.95" customHeight="1" x14ac:dyDescent="0.3">
      <c r="A110" s="76"/>
      <c r="B110" s="66"/>
      <c r="C110" s="69"/>
      <c r="D110" s="7" t="s">
        <v>13</v>
      </c>
      <c r="E110" s="6">
        <v>1</v>
      </c>
      <c r="F110" s="6">
        <v>10</v>
      </c>
      <c r="G110" s="49">
        <v>1</v>
      </c>
      <c r="H110" s="49">
        <f t="shared" si="19"/>
        <v>9</v>
      </c>
      <c r="I110" s="50">
        <v>5</v>
      </c>
      <c r="J110" s="23">
        <f t="shared" si="16"/>
        <v>0.55555555555555558</v>
      </c>
      <c r="K110" s="4"/>
    </row>
    <row r="111" spans="1:11" ht="24.95" customHeight="1" x14ac:dyDescent="0.3">
      <c r="A111" s="76"/>
      <c r="B111" s="66"/>
      <c r="C111" s="69"/>
      <c r="D111" s="7" t="s">
        <v>23</v>
      </c>
      <c r="E111" s="6">
        <v>1</v>
      </c>
      <c r="F111" s="6">
        <v>5</v>
      </c>
      <c r="G111" s="49"/>
      <c r="H111" s="49">
        <f t="shared" si="19"/>
        <v>5</v>
      </c>
      <c r="I111" s="50">
        <v>3</v>
      </c>
      <c r="J111" s="23">
        <f t="shared" si="16"/>
        <v>0.6</v>
      </c>
      <c r="K111" s="4"/>
    </row>
    <row r="112" spans="1:11" ht="24.95" customHeight="1" x14ac:dyDescent="0.3">
      <c r="A112" s="76"/>
      <c r="B112" s="66"/>
      <c r="C112" s="69"/>
      <c r="D112" s="7" t="s">
        <v>10</v>
      </c>
      <c r="E112" s="6">
        <v>1</v>
      </c>
      <c r="F112" s="6">
        <v>3</v>
      </c>
      <c r="G112" s="49"/>
      <c r="H112" s="49">
        <f t="shared" si="19"/>
        <v>3</v>
      </c>
      <c r="I112" s="50">
        <v>3</v>
      </c>
      <c r="J112" s="23">
        <f t="shared" si="16"/>
        <v>1</v>
      </c>
      <c r="K112" s="4"/>
    </row>
    <row r="113" spans="1:11" ht="24.95" customHeight="1" x14ac:dyDescent="0.3">
      <c r="A113" s="76"/>
      <c r="B113" s="66"/>
      <c r="C113" s="69"/>
      <c r="D113" s="7" t="s">
        <v>9</v>
      </c>
      <c r="E113" s="6">
        <v>1</v>
      </c>
      <c r="F113" s="6">
        <v>4</v>
      </c>
      <c r="G113" s="49"/>
      <c r="H113" s="49">
        <f t="shared" si="19"/>
        <v>4</v>
      </c>
      <c r="I113" s="50">
        <v>3</v>
      </c>
      <c r="J113" s="23">
        <f t="shared" si="16"/>
        <v>0.75</v>
      </c>
      <c r="K113" s="4"/>
    </row>
    <row r="114" spans="1:11" ht="24.95" customHeight="1" x14ac:dyDescent="0.3">
      <c r="A114" s="76"/>
      <c r="B114" s="66"/>
      <c r="C114" s="69"/>
      <c r="D114" s="7" t="s">
        <v>20</v>
      </c>
      <c r="E114" s="6">
        <v>2</v>
      </c>
      <c r="F114" s="6">
        <v>11</v>
      </c>
      <c r="G114" s="49"/>
      <c r="H114" s="49">
        <f t="shared" si="19"/>
        <v>11</v>
      </c>
      <c r="I114" s="50">
        <v>6</v>
      </c>
      <c r="J114" s="23">
        <f t="shared" si="16"/>
        <v>0.54545454545454541</v>
      </c>
      <c r="K114" s="4"/>
    </row>
    <row r="115" spans="1:11" ht="24.95" customHeight="1" x14ac:dyDescent="0.3">
      <c r="A115" s="76"/>
      <c r="B115" s="66"/>
      <c r="C115" s="69"/>
      <c r="D115" s="7" t="s">
        <v>7</v>
      </c>
      <c r="E115" s="6">
        <v>1</v>
      </c>
      <c r="F115" s="6">
        <v>3</v>
      </c>
      <c r="G115" s="49"/>
      <c r="H115" s="49">
        <f t="shared" si="19"/>
        <v>3</v>
      </c>
      <c r="I115" s="50">
        <v>3</v>
      </c>
      <c r="J115" s="23">
        <f t="shared" si="16"/>
        <v>1</v>
      </c>
      <c r="K115" s="4"/>
    </row>
    <row r="116" spans="1:11" ht="24.95" customHeight="1" x14ac:dyDescent="0.3">
      <c r="A116" s="76"/>
      <c r="B116" s="66"/>
      <c r="C116" s="70"/>
      <c r="D116" s="7" t="s">
        <v>31</v>
      </c>
      <c r="E116" s="6">
        <v>2</v>
      </c>
      <c r="F116" s="6">
        <v>9</v>
      </c>
      <c r="G116" s="49">
        <v>1</v>
      </c>
      <c r="H116" s="49">
        <f t="shared" si="19"/>
        <v>8</v>
      </c>
      <c r="I116" s="50">
        <v>4</v>
      </c>
      <c r="J116" s="23">
        <f t="shared" si="16"/>
        <v>0.5</v>
      </c>
      <c r="K116" s="4"/>
    </row>
    <row r="117" spans="1:11" ht="24.95" customHeight="1" x14ac:dyDescent="0.3">
      <c r="A117" s="76"/>
      <c r="B117" s="67"/>
      <c r="C117" s="8" t="s">
        <v>99</v>
      </c>
      <c r="D117" s="7" t="s">
        <v>0</v>
      </c>
      <c r="E117" s="6">
        <v>1</v>
      </c>
      <c r="F117" s="6">
        <v>1</v>
      </c>
      <c r="G117" s="54"/>
      <c r="H117" s="49">
        <f t="shared" si="19"/>
        <v>1</v>
      </c>
      <c r="I117" s="50">
        <v>1</v>
      </c>
      <c r="J117" s="23">
        <f t="shared" si="16"/>
        <v>1</v>
      </c>
      <c r="K117" s="4"/>
    </row>
    <row r="118" spans="1:11" ht="24.95" customHeight="1" x14ac:dyDescent="0.3">
      <c r="A118" s="76"/>
      <c r="B118" s="65" t="s">
        <v>51</v>
      </c>
      <c r="C118" s="27" t="s">
        <v>2</v>
      </c>
      <c r="D118" s="27"/>
      <c r="E118" s="27">
        <f t="shared" ref="E118:I118" si="20">E119+E130+E132</f>
        <v>52</v>
      </c>
      <c r="F118" s="27">
        <f t="shared" si="20"/>
        <v>214</v>
      </c>
      <c r="G118" s="51">
        <f t="shared" si="20"/>
        <v>0</v>
      </c>
      <c r="H118" s="51">
        <f t="shared" si="20"/>
        <v>214</v>
      </c>
      <c r="I118" s="51">
        <f t="shared" si="20"/>
        <v>140</v>
      </c>
      <c r="J118" s="24">
        <f t="shared" si="16"/>
        <v>0.65420560747663548</v>
      </c>
      <c r="K118" s="4"/>
    </row>
    <row r="119" spans="1:11" ht="24.95" customHeight="1" x14ac:dyDescent="0.3">
      <c r="A119" s="76"/>
      <c r="B119" s="66"/>
      <c r="C119" s="12" t="s">
        <v>50</v>
      </c>
      <c r="D119" s="12" t="s">
        <v>18</v>
      </c>
      <c r="E119" s="12">
        <f t="shared" ref="E119:I119" si="21">SUM(E120:E129)</f>
        <v>16</v>
      </c>
      <c r="F119" s="12">
        <f t="shared" si="21"/>
        <v>59</v>
      </c>
      <c r="G119" s="55">
        <f t="shared" si="21"/>
        <v>0</v>
      </c>
      <c r="H119" s="55">
        <f t="shared" si="21"/>
        <v>59</v>
      </c>
      <c r="I119" s="55">
        <f t="shared" si="21"/>
        <v>41</v>
      </c>
      <c r="J119" s="22">
        <f t="shared" si="16"/>
        <v>0.69491525423728817</v>
      </c>
      <c r="K119" s="12"/>
    </row>
    <row r="120" spans="1:11" ht="24.95" customHeight="1" x14ac:dyDescent="0.3">
      <c r="A120" s="76"/>
      <c r="B120" s="66"/>
      <c r="C120" s="68" t="s">
        <v>100</v>
      </c>
      <c r="D120" s="7" t="s">
        <v>17</v>
      </c>
      <c r="E120" s="6">
        <v>2</v>
      </c>
      <c r="F120" s="6">
        <v>9</v>
      </c>
      <c r="G120" s="49"/>
      <c r="H120" s="49">
        <f t="shared" ref="H120:H129" si="22">F120-G120</f>
        <v>9</v>
      </c>
      <c r="I120" s="50">
        <v>7</v>
      </c>
      <c r="J120" s="23">
        <f t="shared" si="16"/>
        <v>0.77777777777777779</v>
      </c>
      <c r="K120" s="4"/>
    </row>
    <row r="121" spans="1:11" ht="24.95" customHeight="1" x14ac:dyDescent="0.3">
      <c r="A121" s="76"/>
      <c r="B121" s="66"/>
      <c r="C121" s="69"/>
      <c r="D121" s="7" t="s">
        <v>16</v>
      </c>
      <c r="E121" s="6">
        <v>1</v>
      </c>
      <c r="F121" s="6">
        <v>5</v>
      </c>
      <c r="G121" s="49"/>
      <c r="H121" s="49">
        <f t="shared" si="22"/>
        <v>5</v>
      </c>
      <c r="I121" s="50">
        <v>3</v>
      </c>
      <c r="J121" s="23">
        <f t="shared" si="16"/>
        <v>0.6</v>
      </c>
      <c r="K121" s="4"/>
    </row>
    <row r="122" spans="1:11" ht="24.95" customHeight="1" x14ac:dyDescent="0.3">
      <c r="A122" s="76"/>
      <c r="B122" s="66"/>
      <c r="C122" s="69"/>
      <c r="D122" s="7" t="s">
        <v>15</v>
      </c>
      <c r="E122" s="6">
        <v>4</v>
      </c>
      <c r="F122" s="6">
        <v>22</v>
      </c>
      <c r="G122" s="49"/>
      <c r="H122" s="49">
        <f t="shared" si="22"/>
        <v>22</v>
      </c>
      <c r="I122" s="50">
        <v>13</v>
      </c>
      <c r="J122" s="23">
        <f t="shared" si="16"/>
        <v>0.59090909090909094</v>
      </c>
      <c r="K122" s="4"/>
    </row>
    <row r="123" spans="1:11" ht="24.95" customHeight="1" x14ac:dyDescent="0.3">
      <c r="A123" s="76"/>
      <c r="B123" s="66"/>
      <c r="C123" s="69"/>
      <c r="D123" s="7" t="s">
        <v>49</v>
      </c>
      <c r="E123" s="6">
        <v>1</v>
      </c>
      <c r="F123" s="6">
        <v>3</v>
      </c>
      <c r="G123" s="49"/>
      <c r="H123" s="49">
        <f t="shared" si="22"/>
        <v>3</v>
      </c>
      <c r="I123" s="50">
        <v>3</v>
      </c>
      <c r="J123" s="23">
        <f t="shared" si="16"/>
        <v>1</v>
      </c>
      <c r="K123" s="4"/>
    </row>
    <row r="124" spans="1:11" ht="24.95" customHeight="1" x14ac:dyDescent="0.3">
      <c r="A124" s="76"/>
      <c r="B124" s="66"/>
      <c r="C124" s="69"/>
      <c r="D124" s="7" t="s">
        <v>26</v>
      </c>
      <c r="E124" s="6">
        <v>1</v>
      </c>
      <c r="F124" s="6">
        <v>3</v>
      </c>
      <c r="G124" s="49"/>
      <c r="H124" s="49">
        <f t="shared" si="22"/>
        <v>3</v>
      </c>
      <c r="I124" s="50">
        <v>3</v>
      </c>
      <c r="J124" s="23">
        <f t="shared" si="16"/>
        <v>1</v>
      </c>
      <c r="K124" s="4"/>
    </row>
    <row r="125" spans="1:11" ht="24.95" customHeight="1" x14ac:dyDescent="0.3">
      <c r="A125" s="76"/>
      <c r="B125" s="66"/>
      <c r="C125" s="69"/>
      <c r="D125" s="7" t="s">
        <v>24</v>
      </c>
      <c r="E125" s="6">
        <v>2</v>
      </c>
      <c r="F125" s="6">
        <v>5</v>
      </c>
      <c r="G125" s="49"/>
      <c r="H125" s="49">
        <f t="shared" si="22"/>
        <v>5</v>
      </c>
      <c r="I125" s="50">
        <v>4</v>
      </c>
      <c r="J125" s="23">
        <f t="shared" si="16"/>
        <v>0.8</v>
      </c>
      <c r="K125" s="4"/>
    </row>
    <row r="126" spans="1:11" ht="24.95" customHeight="1" x14ac:dyDescent="0.3">
      <c r="A126" s="76"/>
      <c r="B126" s="66"/>
      <c r="C126" s="69"/>
      <c r="D126" s="7" t="s">
        <v>23</v>
      </c>
      <c r="E126" s="6">
        <v>1</v>
      </c>
      <c r="F126" s="6">
        <v>1</v>
      </c>
      <c r="G126" s="49"/>
      <c r="H126" s="49">
        <f t="shared" si="22"/>
        <v>1</v>
      </c>
      <c r="I126" s="50">
        <v>1</v>
      </c>
      <c r="J126" s="23">
        <f t="shared" si="16"/>
        <v>1</v>
      </c>
      <c r="K126" s="4"/>
    </row>
    <row r="127" spans="1:11" ht="24.95" customHeight="1" x14ac:dyDescent="0.3">
      <c r="A127" s="76"/>
      <c r="B127" s="66"/>
      <c r="C127" s="69"/>
      <c r="D127" s="7" t="s">
        <v>22</v>
      </c>
      <c r="E127" s="6">
        <v>1</v>
      </c>
      <c r="F127" s="6">
        <v>2</v>
      </c>
      <c r="G127" s="49"/>
      <c r="H127" s="49">
        <f t="shared" si="22"/>
        <v>2</v>
      </c>
      <c r="I127" s="50">
        <v>1</v>
      </c>
      <c r="J127" s="23">
        <f t="shared" si="16"/>
        <v>0.5</v>
      </c>
      <c r="K127" s="4"/>
    </row>
    <row r="128" spans="1:11" ht="24.95" customHeight="1" x14ac:dyDescent="0.3">
      <c r="A128" s="76"/>
      <c r="B128" s="66"/>
      <c r="C128" s="69"/>
      <c r="D128" s="7" t="s">
        <v>20</v>
      </c>
      <c r="E128" s="6">
        <v>1</v>
      </c>
      <c r="F128" s="6">
        <v>5</v>
      </c>
      <c r="G128" s="49"/>
      <c r="H128" s="49">
        <f t="shared" si="22"/>
        <v>5</v>
      </c>
      <c r="I128" s="50">
        <v>3</v>
      </c>
      <c r="J128" s="23">
        <f t="shared" si="16"/>
        <v>0.6</v>
      </c>
      <c r="K128" s="4"/>
    </row>
    <row r="129" spans="1:11" ht="24.95" customHeight="1" x14ac:dyDescent="0.3">
      <c r="A129" s="76"/>
      <c r="B129" s="66"/>
      <c r="C129" s="70"/>
      <c r="D129" s="7" t="s">
        <v>6</v>
      </c>
      <c r="E129" s="6">
        <v>2</v>
      </c>
      <c r="F129" s="6">
        <v>4</v>
      </c>
      <c r="G129" s="49"/>
      <c r="H129" s="49">
        <f t="shared" si="22"/>
        <v>4</v>
      </c>
      <c r="I129" s="50">
        <v>3</v>
      </c>
      <c r="J129" s="23">
        <f t="shared" si="16"/>
        <v>0.75</v>
      </c>
      <c r="K129" s="4"/>
    </row>
    <row r="130" spans="1:11" ht="24.95" customHeight="1" x14ac:dyDescent="0.3">
      <c r="A130" s="76"/>
      <c r="B130" s="66"/>
      <c r="C130" s="12" t="s">
        <v>48</v>
      </c>
      <c r="D130" s="12" t="s">
        <v>18</v>
      </c>
      <c r="E130" s="15">
        <f t="shared" ref="E130:I130" si="23">SUM(E131)</f>
        <v>25</v>
      </c>
      <c r="F130" s="15">
        <f t="shared" si="23"/>
        <v>112</v>
      </c>
      <c r="G130" s="56">
        <f t="shared" si="23"/>
        <v>0</v>
      </c>
      <c r="H130" s="56">
        <f t="shared" si="23"/>
        <v>112</v>
      </c>
      <c r="I130" s="56">
        <f t="shared" si="23"/>
        <v>69</v>
      </c>
      <c r="J130" s="22">
        <f t="shared" si="16"/>
        <v>0.6160714285714286</v>
      </c>
      <c r="K130" s="15"/>
    </row>
    <row r="131" spans="1:11" ht="24.95" customHeight="1" x14ac:dyDescent="0.3">
      <c r="A131" s="76"/>
      <c r="B131" s="66"/>
      <c r="C131" s="8" t="s">
        <v>101</v>
      </c>
      <c r="D131" s="7" t="s">
        <v>0</v>
      </c>
      <c r="E131" s="6">
        <v>25</v>
      </c>
      <c r="F131" s="6">
        <v>112</v>
      </c>
      <c r="G131" s="49"/>
      <c r="H131" s="49">
        <f>F131-G131</f>
        <v>112</v>
      </c>
      <c r="I131" s="50">
        <v>69</v>
      </c>
      <c r="J131" s="23">
        <f t="shared" si="16"/>
        <v>0.6160714285714286</v>
      </c>
      <c r="K131" s="4"/>
    </row>
    <row r="132" spans="1:11" ht="24.95" customHeight="1" x14ac:dyDescent="0.3">
      <c r="A132" s="76"/>
      <c r="B132" s="66"/>
      <c r="C132" s="12" t="s">
        <v>47</v>
      </c>
      <c r="D132" s="12" t="s">
        <v>18</v>
      </c>
      <c r="E132" s="12">
        <f t="shared" ref="E132:I132" si="24">SUM(E133:E138)</f>
        <v>11</v>
      </c>
      <c r="F132" s="12">
        <f t="shared" si="24"/>
        <v>43</v>
      </c>
      <c r="G132" s="55">
        <f t="shared" si="24"/>
        <v>0</v>
      </c>
      <c r="H132" s="55">
        <f t="shared" si="24"/>
        <v>43</v>
      </c>
      <c r="I132" s="55">
        <f t="shared" si="24"/>
        <v>30</v>
      </c>
      <c r="J132" s="22">
        <f t="shared" ref="J132:J163" si="25">I132/H132</f>
        <v>0.69767441860465118</v>
      </c>
      <c r="K132" s="12"/>
    </row>
    <row r="133" spans="1:11" ht="24.95" customHeight="1" x14ac:dyDescent="0.3">
      <c r="A133" s="76"/>
      <c r="B133" s="66"/>
      <c r="C133" s="68" t="s">
        <v>102</v>
      </c>
      <c r="D133" s="7" t="s">
        <v>17</v>
      </c>
      <c r="E133" s="6">
        <v>2</v>
      </c>
      <c r="F133" s="6">
        <v>11</v>
      </c>
      <c r="G133" s="49"/>
      <c r="H133" s="49">
        <f t="shared" ref="H133:H138" si="26">F133-G133</f>
        <v>11</v>
      </c>
      <c r="I133" s="50">
        <v>8</v>
      </c>
      <c r="J133" s="23">
        <f t="shared" si="25"/>
        <v>0.72727272727272729</v>
      </c>
      <c r="K133" s="4"/>
    </row>
    <row r="134" spans="1:11" ht="24.95" customHeight="1" x14ac:dyDescent="0.3">
      <c r="A134" s="76"/>
      <c r="B134" s="66"/>
      <c r="C134" s="69"/>
      <c r="D134" s="7" t="s">
        <v>16</v>
      </c>
      <c r="E134" s="6">
        <v>2</v>
      </c>
      <c r="F134" s="6">
        <v>4</v>
      </c>
      <c r="G134" s="49"/>
      <c r="H134" s="49">
        <f t="shared" si="26"/>
        <v>4</v>
      </c>
      <c r="I134" s="50">
        <v>2</v>
      </c>
      <c r="J134" s="23">
        <f t="shared" si="25"/>
        <v>0.5</v>
      </c>
      <c r="K134" s="4"/>
    </row>
    <row r="135" spans="1:11" ht="24.95" customHeight="1" x14ac:dyDescent="0.3">
      <c r="A135" s="76"/>
      <c r="B135" s="66"/>
      <c r="C135" s="69"/>
      <c r="D135" s="7" t="s">
        <v>26</v>
      </c>
      <c r="E135" s="6">
        <v>4</v>
      </c>
      <c r="F135" s="6">
        <v>21</v>
      </c>
      <c r="G135" s="49"/>
      <c r="H135" s="49">
        <f t="shared" si="26"/>
        <v>21</v>
      </c>
      <c r="I135" s="50">
        <v>18</v>
      </c>
      <c r="J135" s="23">
        <f t="shared" si="25"/>
        <v>0.8571428571428571</v>
      </c>
      <c r="K135" s="4"/>
    </row>
    <row r="136" spans="1:11" ht="24.95" customHeight="1" x14ac:dyDescent="0.3">
      <c r="A136" s="76"/>
      <c r="B136" s="66"/>
      <c r="C136" s="69"/>
      <c r="D136" s="7" t="s">
        <v>9</v>
      </c>
      <c r="E136" s="6">
        <v>1</v>
      </c>
      <c r="F136" s="6">
        <v>4</v>
      </c>
      <c r="G136" s="49"/>
      <c r="H136" s="49">
        <f t="shared" si="26"/>
        <v>4</v>
      </c>
      <c r="I136" s="50">
        <v>1</v>
      </c>
      <c r="J136" s="23">
        <f t="shared" si="25"/>
        <v>0.25</v>
      </c>
      <c r="K136" s="4"/>
    </row>
    <row r="137" spans="1:11" ht="24.95" customHeight="1" x14ac:dyDescent="0.3">
      <c r="A137" s="76"/>
      <c r="B137" s="66"/>
      <c r="C137" s="69"/>
      <c r="D137" s="7" t="s">
        <v>22</v>
      </c>
      <c r="E137" s="6">
        <v>1</v>
      </c>
      <c r="F137" s="6">
        <v>1</v>
      </c>
      <c r="G137" s="49"/>
      <c r="H137" s="49">
        <f t="shared" si="26"/>
        <v>1</v>
      </c>
      <c r="I137" s="50">
        <v>0</v>
      </c>
      <c r="J137" s="23">
        <f t="shared" si="25"/>
        <v>0</v>
      </c>
      <c r="K137" s="4"/>
    </row>
    <row r="138" spans="1:11" ht="24.95" customHeight="1" x14ac:dyDescent="0.3">
      <c r="A138" s="76"/>
      <c r="B138" s="67"/>
      <c r="C138" s="70"/>
      <c r="D138" s="7" t="s">
        <v>31</v>
      </c>
      <c r="E138" s="6">
        <v>1</v>
      </c>
      <c r="F138" s="6">
        <v>2</v>
      </c>
      <c r="G138" s="49"/>
      <c r="H138" s="49">
        <f t="shared" si="26"/>
        <v>2</v>
      </c>
      <c r="I138" s="50">
        <v>1</v>
      </c>
      <c r="J138" s="23">
        <f t="shared" si="25"/>
        <v>0.5</v>
      </c>
      <c r="K138" s="4"/>
    </row>
    <row r="139" spans="1:11" ht="24.95" customHeight="1" x14ac:dyDescent="0.3">
      <c r="A139" s="76"/>
      <c r="B139" s="65" t="s">
        <v>46</v>
      </c>
      <c r="C139" s="27" t="s">
        <v>2</v>
      </c>
      <c r="D139" s="27"/>
      <c r="E139" s="27">
        <f t="shared" ref="E139:I139" si="27">E140+E159</f>
        <v>61</v>
      </c>
      <c r="F139" s="27">
        <f t="shared" si="27"/>
        <v>325</v>
      </c>
      <c r="G139" s="51">
        <f t="shared" si="27"/>
        <v>1</v>
      </c>
      <c r="H139" s="51">
        <f t="shared" si="27"/>
        <v>324</v>
      </c>
      <c r="I139" s="51">
        <f t="shared" si="27"/>
        <v>240</v>
      </c>
      <c r="J139" s="24">
        <f t="shared" si="25"/>
        <v>0.7407407407407407</v>
      </c>
      <c r="K139" s="27"/>
    </row>
    <row r="140" spans="1:11" ht="24.95" customHeight="1" x14ac:dyDescent="0.3">
      <c r="A140" s="76"/>
      <c r="B140" s="66"/>
      <c r="C140" s="12" t="s">
        <v>45</v>
      </c>
      <c r="D140" s="12" t="s">
        <v>18</v>
      </c>
      <c r="E140" s="12">
        <f t="shared" ref="E140:I140" si="28">SUM(E141:E158)</f>
        <v>48</v>
      </c>
      <c r="F140" s="12">
        <f t="shared" si="28"/>
        <v>274</v>
      </c>
      <c r="G140" s="55">
        <f t="shared" si="28"/>
        <v>1</v>
      </c>
      <c r="H140" s="55">
        <f t="shared" si="28"/>
        <v>273</v>
      </c>
      <c r="I140" s="55">
        <f t="shared" si="28"/>
        <v>200</v>
      </c>
      <c r="J140" s="22">
        <f t="shared" si="25"/>
        <v>0.73260073260073255</v>
      </c>
      <c r="K140" s="18"/>
    </row>
    <row r="141" spans="1:11" ht="24.95" customHeight="1" x14ac:dyDescent="0.3">
      <c r="A141" s="76"/>
      <c r="B141" s="66"/>
      <c r="C141" s="68" t="s">
        <v>103</v>
      </c>
      <c r="D141" s="7" t="s">
        <v>17</v>
      </c>
      <c r="E141" s="6">
        <v>1</v>
      </c>
      <c r="F141" s="6">
        <v>7</v>
      </c>
      <c r="G141" s="49"/>
      <c r="H141" s="49">
        <f t="shared" ref="H141:H158" si="29">F141-G141</f>
        <v>7</v>
      </c>
      <c r="I141" s="50">
        <v>4</v>
      </c>
      <c r="J141" s="23">
        <f t="shared" si="25"/>
        <v>0.5714285714285714</v>
      </c>
      <c r="K141" s="4"/>
    </row>
    <row r="142" spans="1:11" ht="24.95" customHeight="1" x14ac:dyDescent="0.3">
      <c r="A142" s="76"/>
      <c r="B142" s="66"/>
      <c r="C142" s="69"/>
      <c r="D142" s="7" t="s">
        <v>16</v>
      </c>
      <c r="E142" s="6">
        <v>3</v>
      </c>
      <c r="F142" s="6">
        <v>18</v>
      </c>
      <c r="G142" s="49"/>
      <c r="H142" s="49">
        <f t="shared" si="29"/>
        <v>18</v>
      </c>
      <c r="I142" s="50">
        <v>12</v>
      </c>
      <c r="J142" s="23">
        <f t="shared" si="25"/>
        <v>0.66666666666666663</v>
      </c>
      <c r="K142" s="4"/>
    </row>
    <row r="143" spans="1:11" ht="24.95" customHeight="1" x14ac:dyDescent="0.3">
      <c r="A143" s="76"/>
      <c r="B143" s="66"/>
      <c r="C143" s="69"/>
      <c r="D143" s="7" t="s">
        <v>15</v>
      </c>
      <c r="E143" s="6">
        <v>1</v>
      </c>
      <c r="F143" s="6">
        <v>19</v>
      </c>
      <c r="G143" s="49"/>
      <c r="H143" s="49">
        <f t="shared" si="29"/>
        <v>19</v>
      </c>
      <c r="I143" s="50">
        <v>12</v>
      </c>
      <c r="J143" s="23">
        <f t="shared" si="25"/>
        <v>0.63157894736842102</v>
      </c>
      <c r="K143" s="4"/>
    </row>
    <row r="144" spans="1:11" ht="24.95" customHeight="1" x14ac:dyDescent="0.3">
      <c r="A144" s="76"/>
      <c r="B144" s="66"/>
      <c r="C144" s="69"/>
      <c r="D144" s="7" t="s">
        <v>26</v>
      </c>
      <c r="E144" s="6">
        <v>4</v>
      </c>
      <c r="F144" s="6">
        <v>29</v>
      </c>
      <c r="G144" s="49"/>
      <c r="H144" s="49">
        <f t="shared" si="29"/>
        <v>29</v>
      </c>
      <c r="I144" s="50">
        <v>24</v>
      </c>
      <c r="J144" s="23">
        <f t="shared" si="25"/>
        <v>0.82758620689655171</v>
      </c>
      <c r="K144" s="4"/>
    </row>
    <row r="145" spans="1:11" ht="24.95" customHeight="1" x14ac:dyDescent="0.3">
      <c r="A145" s="76"/>
      <c r="B145" s="66"/>
      <c r="C145" s="69"/>
      <c r="D145" s="7" t="s">
        <v>13</v>
      </c>
      <c r="E145" s="6">
        <v>1</v>
      </c>
      <c r="F145" s="6">
        <v>11</v>
      </c>
      <c r="G145" s="49"/>
      <c r="H145" s="49">
        <f t="shared" si="29"/>
        <v>11</v>
      </c>
      <c r="I145" s="50">
        <v>9</v>
      </c>
      <c r="J145" s="23">
        <f t="shared" si="25"/>
        <v>0.81818181818181823</v>
      </c>
      <c r="K145" s="4"/>
    </row>
    <row r="146" spans="1:11" ht="24.95" customHeight="1" x14ac:dyDescent="0.3">
      <c r="A146" s="76"/>
      <c r="B146" s="66"/>
      <c r="C146" s="69"/>
      <c r="D146" s="7" t="s">
        <v>12</v>
      </c>
      <c r="E146" s="6">
        <v>4</v>
      </c>
      <c r="F146" s="6">
        <v>25</v>
      </c>
      <c r="G146" s="49"/>
      <c r="H146" s="49">
        <f t="shared" si="29"/>
        <v>25</v>
      </c>
      <c r="I146" s="50">
        <v>18</v>
      </c>
      <c r="J146" s="23">
        <f t="shared" si="25"/>
        <v>0.72</v>
      </c>
      <c r="K146" s="4"/>
    </row>
    <row r="147" spans="1:11" ht="24.95" customHeight="1" x14ac:dyDescent="0.3">
      <c r="A147" s="76"/>
      <c r="B147" s="66"/>
      <c r="C147" s="69"/>
      <c r="D147" s="7" t="s">
        <v>11</v>
      </c>
      <c r="E147" s="6">
        <v>3</v>
      </c>
      <c r="F147" s="6">
        <v>12</v>
      </c>
      <c r="G147" s="49"/>
      <c r="H147" s="49">
        <f t="shared" si="29"/>
        <v>12</v>
      </c>
      <c r="I147" s="50">
        <v>9</v>
      </c>
      <c r="J147" s="23">
        <f t="shared" si="25"/>
        <v>0.75</v>
      </c>
      <c r="K147" s="4"/>
    </row>
    <row r="148" spans="1:11" ht="24.95" customHeight="1" x14ac:dyDescent="0.3">
      <c r="A148" s="76"/>
      <c r="B148" s="66"/>
      <c r="C148" s="69"/>
      <c r="D148" s="7" t="s">
        <v>25</v>
      </c>
      <c r="E148" s="6">
        <v>6</v>
      </c>
      <c r="F148" s="6">
        <v>28</v>
      </c>
      <c r="G148" s="49"/>
      <c r="H148" s="49">
        <f t="shared" si="29"/>
        <v>28</v>
      </c>
      <c r="I148" s="50">
        <v>18</v>
      </c>
      <c r="J148" s="23">
        <f t="shared" si="25"/>
        <v>0.6428571428571429</v>
      </c>
      <c r="K148" s="4"/>
    </row>
    <row r="149" spans="1:11" ht="24.95" customHeight="1" x14ac:dyDescent="0.3">
      <c r="A149" s="76"/>
      <c r="B149" s="66"/>
      <c r="C149" s="69"/>
      <c r="D149" s="7" t="s">
        <v>23</v>
      </c>
      <c r="E149" s="6">
        <v>2</v>
      </c>
      <c r="F149" s="6">
        <v>9</v>
      </c>
      <c r="G149" s="49"/>
      <c r="H149" s="49">
        <f t="shared" si="29"/>
        <v>9</v>
      </c>
      <c r="I149" s="50">
        <v>5</v>
      </c>
      <c r="J149" s="23">
        <f t="shared" si="25"/>
        <v>0.55555555555555558</v>
      </c>
      <c r="K149" s="4"/>
    </row>
    <row r="150" spans="1:11" ht="24.95" customHeight="1" x14ac:dyDescent="0.3">
      <c r="A150" s="76"/>
      <c r="B150" s="66"/>
      <c r="C150" s="69"/>
      <c r="D150" s="7" t="s">
        <v>10</v>
      </c>
      <c r="E150" s="6">
        <v>4</v>
      </c>
      <c r="F150" s="6">
        <v>17</v>
      </c>
      <c r="G150" s="49"/>
      <c r="H150" s="49">
        <f t="shared" si="29"/>
        <v>17</v>
      </c>
      <c r="I150" s="50">
        <v>15</v>
      </c>
      <c r="J150" s="23">
        <f t="shared" si="25"/>
        <v>0.88235294117647056</v>
      </c>
      <c r="K150" s="4"/>
    </row>
    <row r="151" spans="1:11" ht="24.95" customHeight="1" x14ac:dyDescent="0.3">
      <c r="A151" s="76"/>
      <c r="B151" s="66"/>
      <c r="C151" s="69"/>
      <c r="D151" s="7" t="s">
        <v>9</v>
      </c>
      <c r="E151" s="6">
        <v>5</v>
      </c>
      <c r="F151" s="6">
        <v>38</v>
      </c>
      <c r="G151" s="49"/>
      <c r="H151" s="49">
        <f t="shared" si="29"/>
        <v>38</v>
      </c>
      <c r="I151" s="50">
        <v>30</v>
      </c>
      <c r="J151" s="23">
        <f t="shared" si="25"/>
        <v>0.78947368421052633</v>
      </c>
      <c r="K151" s="4"/>
    </row>
    <row r="152" spans="1:11" ht="24.95" customHeight="1" x14ac:dyDescent="0.3">
      <c r="A152" s="76"/>
      <c r="B152" s="66"/>
      <c r="C152" s="69"/>
      <c r="D152" s="7" t="s">
        <v>22</v>
      </c>
      <c r="E152" s="6">
        <v>1</v>
      </c>
      <c r="F152" s="6">
        <v>4</v>
      </c>
      <c r="G152" s="49"/>
      <c r="H152" s="49">
        <f t="shared" si="29"/>
        <v>4</v>
      </c>
      <c r="I152" s="50">
        <v>1</v>
      </c>
      <c r="J152" s="23">
        <f t="shared" si="25"/>
        <v>0.25</v>
      </c>
      <c r="K152" s="4"/>
    </row>
    <row r="153" spans="1:11" ht="24.95" customHeight="1" x14ac:dyDescent="0.3">
      <c r="A153" s="76"/>
      <c r="B153" s="66"/>
      <c r="C153" s="69"/>
      <c r="D153" s="7" t="s">
        <v>21</v>
      </c>
      <c r="E153" s="6">
        <v>2</v>
      </c>
      <c r="F153" s="6">
        <v>6</v>
      </c>
      <c r="G153" s="49"/>
      <c r="H153" s="49">
        <f t="shared" si="29"/>
        <v>6</v>
      </c>
      <c r="I153" s="50">
        <v>5</v>
      </c>
      <c r="J153" s="23">
        <f t="shared" si="25"/>
        <v>0.83333333333333337</v>
      </c>
      <c r="K153" s="4"/>
    </row>
    <row r="154" spans="1:11" ht="24.95" customHeight="1" x14ac:dyDescent="0.3">
      <c r="A154" s="76"/>
      <c r="B154" s="66"/>
      <c r="C154" s="69"/>
      <c r="D154" s="7" t="s">
        <v>8</v>
      </c>
      <c r="E154" s="6">
        <v>1</v>
      </c>
      <c r="F154" s="6">
        <v>7</v>
      </c>
      <c r="G154" s="49"/>
      <c r="H154" s="49">
        <f t="shared" si="29"/>
        <v>7</v>
      </c>
      <c r="I154" s="50">
        <v>4</v>
      </c>
      <c r="J154" s="23">
        <f t="shared" si="25"/>
        <v>0.5714285714285714</v>
      </c>
      <c r="K154" s="4"/>
    </row>
    <row r="155" spans="1:11" ht="24.95" customHeight="1" x14ac:dyDescent="0.3">
      <c r="A155" s="76"/>
      <c r="B155" s="66"/>
      <c r="C155" s="69"/>
      <c r="D155" s="7" t="s">
        <v>20</v>
      </c>
      <c r="E155" s="6">
        <v>2</v>
      </c>
      <c r="F155" s="6">
        <v>8</v>
      </c>
      <c r="G155" s="57">
        <v>1</v>
      </c>
      <c r="H155" s="49">
        <f t="shared" si="29"/>
        <v>7</v>
      </c>
      <c r="I155" s="50">
        <v>5</v>
      </c>
      <c r="J155" s="23">
        <f t="shared" si="25"/>
        <v>0.7142857142857143</v>
      </c>
      <c r="K155" s="26"/>
    </row>
    <row r="156" spans="1:11" ht="24.95" customHeight="1" x14ac:dyDescent="0.3">
      <c r="A156" s="76"/>
      <c r="B156" s="66"/>
      <c r="C156" s="69"/>
      <c r="D156" s="7" t="s">
        <v>6</v>
      </c>
      <c r="E156" s="6">
        <v>2</v>
      </c>
      <c r="F156" s="6">
        <v>18</v>
      </c>
      <c r="G156" s="49"/>
      <c r="H156" s="49">
        <f t="shared" si="29"/>
        <v>18</v>
      </c>
      <c r="I156" s="50">
        <v>16</v>
      </c>
      <c r="J156" s="23">
        <f t="shared" si="25"/>
        <v>0.88888888888888884</v>
      </c>
      <c r="K156" s="4"/>
    </row>
    <row r="157" spans="1:11" ht="24.95" customHeight="1" x14ac:dyDescent="0.3">
      <c r="A157" s="76"/>
      <c r="B157" s="66"/>
      <c r="C157" s="70"/>
      <c r="D157" s="7" t="s">
        <v>31</v>
      </c>
      <c r="E157" s="6">
        <v>2</v>
      </c>
      <c r="F157" s="6">
        <v>16</v>
      </c>
      <c r="G157" s="49"/>
      <c r="H157" s="49">
        <f t="shared" si="29"/>
        <v>16</v>
      </c>
      <c r="I157" s="50">
        <v>12</v>
      </c>
      <c r="J157" s="23">
        <f t="shared" si="25"/>
        <v>0.75</v>
      </c>
      <c r="K157" s="4"/>
    </row>
    <row r="158" spans="1:11" ht="24.95" customHeight="1" x14ac:dyDescent="0.3">
      <c r="A158" s="76"/>
      <c r="B158" s="66"/>
      <c r="C158" s="8" t="s">
        <v>104</v>
      </c>
      <c r="D158" s="7" t="s">
        <v>0</v>
      </c>
      <c r="E158" s="6">
        <v>4</v>
      </c>
      <c r="F158" s="6">
        <v>2</v>
      </c>
      <c r="G158" s="49"/>
      <c r="H158" s="49">
        <f t="shared" si="29"/>
        <v>2</v>
      </c>
      <c r="I158" s="50">
        <v>1</v>
      </c>
      <c r="J158" s="23">
        <f t="shared" si="25"/>
        <v>0.5</v>
      </c>
      <c r="K158" s="4"/>
    </row>
    <row r="159" spans="1:11" ht="24.95" customHeight="1" x14ac:dyDescent="0.3">
      <c r="A159" s="76"/>
      <c r="B159" s="66"/>
      <c r="C159" s="12" t="s">
        <v>44</v>
      </c>
      <c r="D159" s="12" t="s">
        <v>18</v>
      </c>
      <c r="E159" s="12">
        <f t="shared" ref="E159:I159" si="30">SUM(E160:E166)</f>
        <v>13</v>
      </c>
      <c r="F159" s="12">
        <f t="shared" si="30"/>
        <v>51</v>
      </c>
      <c r="G159" s="55">
        <f t="shared" si="30"/>
        <v>0</v>
      </c>
      <c r="H159" s="55">
        <f t="shared" si="30"/>
        <v>51</v>
      </c>
      <c r="I159" s="55">
        <f t="shared" si="30"/>
        <v>40</v>
      </c>
      <c r="J159" s="22">
        <f t="shared" si="25"/>
        <v>0.78431372549019607</v>
      </c>
      <c r="K159" s="18"/>
    </row>
    <row r="160" spans="1:11" ht="24.95" customHeight="1" x14ac:dyDescent="0.3">
      <c r="A160" s="76"/>
      <c r="B160" s="66"/>
      <c r="C160" s="68" t="s">
        <v>105</v>
      </c>
      <c r="D160" s="7" t="s">
        <v>17</v>
      </c>
      <c r="E160" s="6">
        <v>1</v>
      </c>
      <c r="F160" s="6">
        <v>6</v>
      </c>
      <c r="G160" s="49"/>
      <c r="H160" s="49">
        <f t="shared" ref="H160:H166" si="31">F160-G160</f>
        <v>6</v>
      </c>
      <c r="I160" s="50">
        <v>2</v>
      </c>
      <c r="J160" s="23">
        <f t="shared" si="25"/>
        <v>0.33333333333333331</v>
      </c>
      <c r="K160" s="4"/>
    </row>
    <row r="161" spans="1:11" ht="24.95" customHeight="1" x14ac:dyDescent="0.3">
      <c r="A161" s="76"/>
      <c r="B161" s="66"/>
      <c r="C161" s="69"/>
      <c r="D161" s="7" t="s">
        <v>32</v>
      </c>
      <c r="E161" s="6">
        <v>1</v>
      </c>
      <c r="F161" s="6">
        <v>10</v>
      </c>
      <c r="G161" s="49"/>
      <c r="H161" s="49">
        <f t="shared" si="31"/>
        <v>10</v>
      </c>
      <c r="I161" s="50">
        <v>8</v>
      </c>
      <c r="J161" s="23">
        <f t="shared" si="25"/>
        <v>0.8</v>
      </c>
      <c r="K161" s="4"/>
    </row>
    <row r="162" spans="1:11" ht="24.95" customHeight="1" x14ac:dyDescent="0.3">
      <c r="A162" s="76"/>
      <c r="B162" s="66"/>
      <c r="C162" s="69"/>
      <c r="D162" s="7" t="s">
        <v>11</v>
      </c>
      <c r="E162" s="6">
        <v>1</v>
      </c>
      <c r="F162" s="6">
        <v>1</v>
      </c>
      <c r="G162" s="49"/>
      <c r="H162" s="49">
        <f t="shared" si="31"/>
        <v>1</v>
      </c>
      <c r="I162" s="50">
        <v>1</v>
      </c>
      <c r="J162" s="23">
        <f t="shared" si="25"/>
        <v>1</v>
      </c>
      <c r="K162" s="4"/>
    </row>
    <row r="163" spans="1:11" ht="24.95" customHeight="1" x14ac:dyDescent="0.3">
      <c r="A163" s="76"/>
      <c r="B163" s="66"/>
      <c r="C163" s="69"/>
      <c r="D163" s="7" t="s">
        <v>10</v>
      </c>
      <c r="E163" s="6">
        <v>3</v>
      </c>
      <c r="F163" s="6">
        <v>5</v>
      </c>
      <c r="G163" s="49"/>
      <c r="H163" s="49">
        <f t="shared" si="31"/>
        <v>5</v>
      </c>
      <c r="I163" s="50">
        <v>4</v>
      </c>
      <c r="J163" s="23">
        <f t="shared" si="25"/>
        <v>0.8</v>
      </c>
      <c r="K163" s="4"/>
    </row>
    <row r="164" spans="1:11" ht="24.95" customHeight="1" x14ac:dyDescent="0.3">
      <c r="A164" s="76"/>
      <c r="B164" s="66"/>
      <c r="C164" s="69"/>
      <c r="D164" s="7" t="s">
        <v>9</v>
      </c>
      <c r="E164" s="6">
        <v>5</v>
      </c>
      <c r="F164" s="6">
        <v>26</v>
      </c>
      <c r="G164" s="49"/>
      <c r="H164" s="49">
        <f t="shared" si="31"/>
        <v>26</v>
      </c>
      <c r="I164" s="50">
        <v>22</v>
      </c>
      <c r="J164" s="23">
        <f t="shared" ref="J164:J165" si="32">I164/H164</f>
        <v>0.84615384615384615</v>
      </c>
      <c r="K164" s="4"/>
    </row>
    <row r="165" spans="1:11" ht="24.95" customHeight="1" x14ac:dyDescent="0.3">
      <c r="A165" s="76"/>
      <c r="B165" s="66"/>
      <c r="C165" s="69"/>
      <c r="D165" s="7" t="s">
        <v>8</v>
      </c>
      <c r="E165" s="6">
        <v>1</v>
      </c>
      <c r="F165" s="6">
        <v>3</v>
      </c>
      <c r="G165" s="49"/>
      <c r="H165" s="49">
        <f t="shared" si="31"/>
        <v>3</v>
      </c>
      <c r="I165" s="50">
        <v>3</v>
      </c>
      <c r="J165" s="23">
        <f t="shared" si="32"/>
        <v>1</v>
      </c>
      <c r="K165" s="4"/>
    </row>
    <row r="166" spans="1:11" ht="24.95" customHeight="1" x14ac:dyDescent="0.3">
      <c r="A166" s="76"/>
      <c r="B166" s="67"/>
      <c r="C166" s="70"/>
      <c r="D166" s="7" t="s">
        <v>6</v>
      </c>
      <c r="E166" s="6">
        <v>1</v>
      </c>
      <c r="F166" s="6">
        <v>0</v>
      </c>
      <c r="G166" s="49"/>
      <c r="H166" s="49">
        <f t="shared" si="31"/>
        <v>0</v>
      </c>
      <c r="I166" s="50">
        <v>0</v>
      </c>
      <c r="J166" s="23">
        <v>0</v>
      </c>
      <c r="K166" s="4"/>
    </row>
    <row r="167" spans="1:11" ht="24.95" customHeight="1" x14ac:dyDescent="0.3">
      <c r="A167" s="76"/>
      <c r="B167" s="71" t="s">
        <v>43</v>
      </c>
      <c r="C167" s="25" t="s">
        <v>2</v>
      </c>
      <c r="D167" s="27"/>
      <c r="E167" s="27">
        <f t="shared" ref="E167:I167" si="33">E168+E180</f>
        <v>26</v>
      </c>
      <c r="F167" s="27">
        <f t="shared" si="33"/>
        <v>110</v>
      </c>
      <c r="G167" s="51">
        <f t="shared" si="33"/>
        <v>0</v>
      </c>
      <c r="H167" s="51">
        <f t="shared" si="33"/>
        <v>110</v>
      </c>
      <c r="I167" s="51">
        <f t="shared" si="33"/>
        <v>89</v>
      </c>
      <c r="J167" s="24">
        <f t="shared" ref="J167:J178" si="34">I167/H167</f>
        <v>0.80909090909090908</v>
      </c>
      <c r="K167" s="4"/>
    </row>
    <row r="168" spans="1:11" ht="24.95" customHeight="1" x14ac:dyDescent="0.3">
      <c r="A168" s="76"/>
      <c r="B168" s="72"/>
      <c r="C168" s="12" t="s">
        <v>42</v>
      </c>
      <c r="D168" s="12" t="s">
        <v>29</v>
      </c>
      <c r="E168" s="12">
        <f t="shared" ref="E168:I168" si="35">SUM(E169:E179)</f>
        <v>25</v>
      </c>
      <c r="F168" s="12">
        <f t="shared" si="35"/>
        <v>108</v>
      </c>
      <c r="G168" s="55">
        <f t="shared" si="35"/>
        <v>0</v>
      </c>
      <c r="H168" s="55">
        <f t="shared" si="35"/>
        <v>108</v>
      </c>
      <c r="I168" s="55">
        <f t="shared" si="35"/>
        <v>87</v>
      </c>
      <c r="J168" s="22">
        <f t="shared" si="34"/>
        <v>0.80555555555555558</v>
      </c>
      <c r="K168" s="18"/>
    </row>
    <row r="169" spans="1:11" ht="24.95" customHeight="1" x14ac:dyDescent="0.3">
      <c r="A169" s="76"/>
      <c r="B169" s="72"/>
      <c r="C169" s="68" t="s">
        <v>106</v>
      </c>
      <c r="D169" s="7" t="s">
        <v>17</v>
      </c>
      <c r="E169" s="6">
        <v>2</v>
      </c>
      <c r="F169" s="6">
        <v>9</v>
      </c>
      <c r="G169" s="49"/>
      <c r="H169" s="49">
        <f t="shared" ref="H169:H179" si="36">F169-G169</f>
        <v>9</v>
      </c>
      <c r="I169" s="50">
        <v>7</v>
      </c>
      <c r="J169" s="23">
        <f t="shared" si="34"/>
        <v>0.77777777777777779</v>
      </c>
      <c r="K169" s="4"/>
    </row>
    <row r="170" spans="1:11" ht="24.95" customHeight="1" x14ac:dyDescent="0.3">
      <c r="A170" s="76"/>
      <c r="B170" s="72"/>
      <c r="C170" s="69"/>
      <c r="D170" s="7" t="s">
        <v>16</v>
      </c>
      <c r="E170" s="6">
        <v>5</v>
      </c>
      <c r="F170" s="6">
        <v>22</v>
      </c>
      <c r="G170" s="49"/>
      <c r="H170" s="49">
        <f t="shared" si="36"/>
        <v>22</v>
      </c>
      <c r="I170" s="50">
        <v>19</v>
      </c>
      <c r="J170" s="23">
        <f t="shared" si="34"/>
        <v>0.86363636363636365</v>
      </c>
      <c r="K170" s="4"/>
    </row>
    <row r="171" spans="1:11" ht="24.95" customHeight="1" x14ac:dyDescent="0.3">
      <c r="A171" s="76"/>
      <c r="B171" s="72"/>
      <c r="C171" s="69"/>
      <c r="D171" s="7" t="s">
        <v>15</v>
      </c>
      <c r="E171" s="6">
        <v>2</v>
      </c>
      <c r="F171" s="6">
        <v>6</v>
      </c>
      <c r="G171" s="49"/>
      <c r="H171" s="49">
        <f t="shared" si="36"/>
        <v>6</v>
      </c>
      <c r="I171" s="50">
        <v>4</v>
      </c>
      <c r="J171" s="23">
        <f t="shared" si="34"/>
        <v>0.66666666666666663</v>
      </c>
      <c r="K171" s="4"/>
    </row>
    <row r="172" spans="1:11" ht="24.95" customHeight="1" x14ac:dyDescent="0.3">
      <c r="A172" s="76"/>
      <c r="B172" s="72"/>
      <c r="C172" s="69"/>
      <c r="D172" s="7" t="s">
        <v>26</v>
      </c>
      <c r="E172" s="6">
        <v>5</v>
      </c>
      <c r="F172" s="6">
        <v>27</v>
      </c>
      <c r="G172" s="49"/>
      <c r="H172" s="49">
        <f t="shared" si="36"/>
        <v>27</v>
      </c>
      <c r="I172" s="50">
        <v>18</v>
      </c>
      <c r="J172" s="23">
        <f t="shared" si="34"/>
        <v>0.66666666666666663</v>
      </c>
      <c r="K172" s="4"/>
    </row>
    <row r="173" spans="1:11" ht="24.95" customHeight="1" x14ac:dyDescent="0.3">
      <c r="A173" s="76"/>
      <c r="B173" s="72"/>
      <c r="C173" s="69"/>
      <c r="D173" s="7" t="s">
        <v>14</v>
      </c>
      <c r="E173" s="6">
        <v>2</v>
      </c>
      <c r="F173" s="6">
        <v>14</v>
      </c>
      <c r="G173" s="49"/>
      <c r="H173" s="49">
        <f t="shared" si="36"/>
        <v>14</v>
      </c>
      <c r="I173" s="50">
        <v>12</v>
      </c>
      <c r="J173" s="23">
        <f t="shared" si="34"/>
        <v>0.8571428571428571</v>
      </c>
      <c r="K173" s="4"/>
    </row>
    <row r="174" spans="1:11" ht="24.95" customHeight="1" x14ac:dyDescent="0.3">
      <c r="A174" s="76"/>
      <c r="B174" s="72"/>
      <c r="C174" s="69"/>
      <c r="D174" s="7" t="s">
        <v>12</v>
      </c>
      <c r="E174" s="6">
        <v>2</v>
      </c>
      <c r="F174" s="6">
        <v>6</v>
      </c>
      <c r="G174" s="49"/>
      <c r="H174" s="49">
        <f t="shared" si="36"/>
        <v>6</v>
      </c>
      <c r="I174" s="50">
        <v>6</v>
      </c>
      <c r="J174" s="23">
        <f t="shared" si="34"/>
        <v>1</v>
      </c>
      <c r="K174" s="4"/>
    </row>
    <row r="175" spans="1:11" ht="24.95" customHeight="1" x14ac:dyDescent="0.3">
      <c r="A175" s="76"/>
      <c r="B175" s="72"/>
      <c r="C175" s="69"/>
      <c r="D175" s="7" t="s">
        <v>25</v>
      </c>
      <c r="E175" s="6">
        <v>1</v>
      </c>
      <c r="F175" s="6">
        <v>6</v>
      </c>
      <c r="G175" s="49"/>
      <c r="H175" s="49">
        <f t="shared" si="36"/>
        <v>6</v>
      </c>
      <c r="I175" s="50">
        <v>4</v>
      </c>
      <c r="J175" s="23">
        <f t="shared" si="34"/>
        <v>0.66666666666666663</v>
      </c>
      <c r="K175" s="4"/>
    </row>
    <row r="176" spans="1:11" ht="24.95" customHeight="1" x14ac:dyDescent="0.3">
      <c r="A176" s="76"/>
      <c r="B176" s="72"/>
      <c r="C176" s="69"/>
      <c r="D176" s="7" t="s">
        <v>9</v>
      </c>
      <c r="E176" s="6">
        <v>1</v>
      </c>
      <c r="F176" s="6">
        <v>4</v>
      </c>
      <c r="G176" s="49"/>
      <c r="H176" s="49">
        <f t="shared" si="36"/>
        <v>4</v>
      </c>
      <c r="I176" s="50">
        <v>4</v>
      </c>
      <c r="J176" s="23">
        <f t="shared" si="34"/>
        <v>1</v>
      </c>
      <c r="K176" s="4"/>
    </row>
    <row r="177" spans="1:11" ht="24.95" customHeight="1" x14ac:dyDescent="0.3">
      <c r="A177" s="76"/>
      <c r="B177" s="72"/>
      <c r="C177" s="69"/>
      <c r="D177" s="7" t="s">
        <v>20</v>
      </c>
      <c r="E177" s="6">
        <v>2</v>
      </c>
      <c r="F177" s="6">
        <v>6</v>
      </c>
      <c r="G177" s="49"/>
      <c r="H177" s="49">
        <f t="shared" si="36"/>
        <v>6</v>
      </c>
      <c r="I177" s="50">
        <v>6</v>
      </c>
      <c r="J177" s="23">
        <f t="shared" si="34"/>
        <v>1</v>
      </c>
      <c r="K177" s="4"/>
    </row>
    <row r="178" spans="1:11" ht="24.95" customHeight="1" x14ac:dyDescent="0.3">
      <c r="A178" s="76"/>
      <c r="B178" s="72"/>
      <c r="C178" s="70"/>
      <c r="D178" s="7" t="s">
        <v>6</v>
      </c>
      <c r="E178" s="6">
        <v>2</v>
      </c>
      <c r="F178" s="6">
        <v>8</v>
      </c>
      <c r="G178" s="49"/>
      <c r="H178" s="49">
        <f t="shared" si="36"/>
        <v>8</v>
      </c>
      <c r="I178" s="50">
        <v>7</v>
      </c>
      <c r="J178" s="23">
        <f t="shared" si="34"/>
        <v>0.875</v>
      </c>
      <c r="K178" s="4"/>
    </row>
    <row r="179" spans="1:11" ht="24.95" customHeight="1" x14ac:dyDescent="0.3">
      <c r="A179" s="76"/>
      <c r="B179" s="72"/>
      <c r="C179" s="8" t="s">
        <v>107</v>
      </c>
      <c r="D179" s="7" t="s">
        <v>0</v>
      </c>
      <c r="E179" s="6">
        <v>1</v>
      </c>
      <c r="F179" s="6">
        <v>0</v>
      </c>
      <c r="G179" s="49"/>
      <c r="H179" s="49">
        <f t="shared" si="36"/>
        <v>0</v>
      </c>
      <c r="I179" s="50">
        <v>0</v>
      </c>
      <c r="J179" s="23">
        <v>0</v>
      </c>
      <c r="K179" s="4"/>
    </row>
    <row r="180" spans="1:11" ht="24.95" customHeight="1" x14ac:dyDescent="0.3">
      <c r="A180" s="76"/>
      <c r="B180" s="72"/>
      <c r="C180" s="12" t="s">
        <v>41</v>
      </c>
      <c r="D180" s="17" t="s">
        <v>29</v>
      </c>
      <c r="E180" s="15">
        <f t="shared" ref="E180:I180" si="37">SUM(E181)</f>
        <v>1</v>
      </c>
      <c r="F180" s="15">
        <f t="shared" si="37"/>
        <v>2</v>
      </c>
      <c r="G180" s="56">
        <f t="shared" si="37"/>
        <v>0</v>
      </c>
      <c r="H180" s="56">
        <f t="shared" si="37"/>
        <v>2</v>
      </c>
      <c r="I180" s="56">
        <f t="shared" si="37"/>
        <v>2</v>
      </c>
      <c r="J180" s="22">
        <f t="shared" ref="J180:J211" si="38">I180/H180</f>
        <v>1</v>
      </c>
      <c r="K180" s="15"/>
    </row>
    <row r="181" spans="1:11" ht="24.95" customHeight="1" x14ac:dyDescent="0.3">
      <c r="A181" s="76"/>
      <c r="B181" s="73"/>
      <c r="C181" s="8" t="s">
        <v>41</v>
      </c>
      <c r="D181" s="7" t="s">
        <v>10</v>
      </c>
      <c r="E181" s="6">
        <v>1</v>
      </c>
      <c r="F181" s="6">
        <v>2</v>
      </c>
      <c r="G181" s="49"/>
      <c r="H181" s="58">
        <f>F181-G181</f>
        <v>2</v>
      </c>
      <c r="I181" s="50">
        <v>2</v>
      </c>
      <c r="J181" s="5">
        <f t="shared" si="38"/>
        <v>1</v>
      </c>
      <c r="K181" s="4"/>
    </row>
    <row r="182" spans="1:11" ht="24.95" customHeight="1" x14ac:dyDescent="0.3">
      <c r="A182" s="76"/>
      <c r="B182" s="65" t="s">
        <v>40</v>
      </c>
      <c r="C182" s="27" t="s">
        <v>2</v>
      </c>
      <c r="D182" s="27"/>
      <c r="E182" s="27">
        <f t="shared" ref="E182:I182" si="39">SUM(E183:E187)</f>
        <v>11</v>
      </c>
      <c r="F182" s="27">
        <f t="shared" si="39"/>
        <v>112</v>
      </c>
      <c r="G182" s="51">
        <f t="shared" si="39"/>
        <v>1</v>
      </c>
      <c r="H182" s="51">
        <f t="shared" si="39"/>
        <v>111</v>
      </c>
      <c r="I182" s="51">
        <f t="shared" si="39"/>
        <v>75</v>
      </c>
      <c r="J182" s="20">
        <f t="shared" si="38"/>
        <v>0.67567567567567566</v>
      </c>
      <c r="K182" s="27"/>
    </row>
    <row r="183" spans="1:11" ht="24.95" customHeight="1" x14ac:dyDescent="0.3">
      <c r="A183" s="76"/>
      <c r="B183" s="66"/>
      <c r="C183" s="68" t="s">
        <v>108</v>
      </c>
      <c r="D183" s="7" t="s">
        <v>16</v>
      </c>
      <c r="E183" s="6">
        <v>3</v>
      </c>
      <c r="F183" s="6">
        <v>32</v>
      </c>
      <c r="G183" s="49"/>
      <c r="H183" s="49">
        <f>F183-G183</f>
        <v>32</v>
      </c>
      <c r="I183" s="50">
        <v>23</v>
      </c>
      <c r="J183" s="5">
        <f t="shared" si="38"/>
        <v>0.71875</v>
      </c>
      <c r="K183" s="4"/>
    </row>
    <row r="184" spans="1:11" ht="24.95" customHeight="1" x14ac:dyDescent="0.3">
      <c r="A184" s="76"/>
      <c r="B184" s="66"/>
      <c r="C184" s="69"/>
      <c r="D184" s="7" t="s">
        <v>12</v>
      </c>
      <c r="E184" s="6">
        <v>3</v>
      </c>
      <c r="F184" s="6">
        <v>28</v>
      </c>
      <c r="G184" s="49"/>
      <c r="H184" s="49">
        <f>F184-G184</f>
        <v>28</v>
      </c>
      <c r="I184" s="50">
        <v>21</v>
      </c>
      <c r="J184" s="5">
        <f t="shared" si="38"/>
        <v>0.75</v>
      </c>
      <c r="K184" s="4"/>
    </row>
    <row r="185" spans="1:11" ht="24.95" customHeight="1" x14ac:dyDescent="0.3">
      <c r="A185" s="76"/>
      <c r="B185" s="66"/>
      <c r="C185" s="69"/>
      <c r="D185" s="7" t="s">
        <v>11</v>
      </c>
      <c r="E185" s="6">
        <v>1</v>
      </c>
      <c r="F185" s="6">
        <v>15</v>
      </c>
      <c r="G185" s="49"/>
      <c r="H185" s="49">
        <f>F185-G185</f>
        <v>15</v>
      </c>
      <c r="I185" s="50">
        <v>10</v>
      </c>
      <c r="J185" s="5">
        <f t="shared" si="38"/>
        <v>0.66666666666666663</v>
      </c>
      <c r="K185" s="4"/>
    </row>
    <row r="186" spans="1:11" ht="24.95" customHeight="1" x14ac:dyDescent="0.3">
      <c r="A186" s="76"/>
      <c r="B186" s="66"/>
      <c r="C186" s="69"/>
      <c r="D186" s="7" t="s">
        <v>10</v>
      </c>
      <c r="E186" s="6">
        <v>2</v>
      </c>
      <c r="F186" s="6">
        <v>21</v>
      </c>
      <c r="G186" s="49"/>
      <c r="H186" s="49">
        <f>F186-G186</f>
        <v>21</v>
      </c>
      <c r="I186" s="50">
        <v>10</v>
      </c>
      <c r="J186" s="5">
        <f t="shared" si="38"/>
        <v>0.47619047619047616</v>
      </c>
      <c r="K186" s="4"/>
    </row>
    <row r="187" spans="1:11" ht="24.95" customHeight="1" x14ac:dyDescent="0.3">
      <c r="A187" s="76"/>
      <c r="B187" s="67"/>
      <c r="C187" s="70"/>
      <c r="D187" s="7" t="s">
        <v>6</v>
      </c>
      <c r="E187" s="6">
        <v>2</v>
      </c>
      <c r="F187" s="6">
        <v>16</v>
      </c>
      <c r="G187" s="49">
        <v>1</v>
      </c>
      <c r="H187" s="49">
        <f>F187-G187</f>
        <v>15</v>
      </c>
      <c r="I187" s="50">
        <v>11</v>
      </c>
      <c r="J187" s="5">
        <f t="shared" si="38"/>
        <v>0.73333333333333328</v>
      </c>
      <c r="K187" s="4"/>
    </row>
    <row r="188" spans="1:11" ht="24.95" customHeight="1" x14ac:dyDescent="0.3">
      <c r="A188" s="76"/>
      <c r="B188" s="65" t="s">
        <v>39</v>
      </c>
      <c r="C188" s="27" t="s">
        <v>2</v>
      </c>
      <c r="D188" s="27"/>
      <c r="E188" s="27">
        <f t="shared" ref="E188:I188" si="40">SUM(E189:E196)</f>
        <v>16</v>
      </c>
      <c r="F188" s="27">
        <f t="shared" si="40"/>
        <v>198</v>
      </c>
      <c r="G188" s="51">
        <f t="shared" si="40"/>
        <v>1</v>
      </c>
      <c r="H188" s="51">
        <f t="shared" si="40"/>
        <v>197</v>
      </c>
      <c r="I188" s="51">
        <f t="shared" si="40"/>
        <v>158</v>
      </c>
      <c r="J188" s="20">
        <f t="shared" si="38"/>
        <v>0.80203045685279184</v>
      </c>
      <c r="K188" s="27"/>
    </row>
    <row r="189" spans="1:11" ht="24.95" customHeight="1" x14ac:dyDescent="0.3">
      <c r="A189" s="76"/>
      <c r="B189" s="66"/>
      <c r="C189" s="68" t="s">
        <v>109</v>
      </c>
      <c r="D189" s="7" t="s">
        <v>16</v>
      </c>
      <c r="E189" s="6">
        <v>5</v>
      </c>
      <c r="F189" s="6">
        <v>94</v>
      </c>
      <c r="G189" s="49">
        <v>1</v>
      </c>
      <c r="H189" s="49">
        <f t="shared" ref="H189:H196" si="41">F189-G189</f>
        <v>93</v>
      </c>
      <c r="I189" s="50">
        <v>80</v>
      </c>
      <c r="J189" s="5">
        <f t="shared" si="38"/>
        <v>0.86021505376344087</v>
      </c>
      <c r="K189" s="4"/>
    </row>
    <row r="190" spans="1:11" ht="24.95" customHeight="1" x14ac:dyDescent="0.3">
      <c r="A190" s="76"/>
      <c r="B190" s="66"/>
      <c r="C190" s="69"/>
      <c r="D190" s="7" t="s">
        <v>26</v>
      </c>
      <c r="E190" s="6">
        <v>1</v>
      </c>
      <c r="F190" s="6">
        <v>12</v>
      </c>
      <c r="G190" s="49"/>
      <c r="H190" s="49">
        <f t="shared" si="41"/>
        <v>12</v>
      </c>
      <c r="I190" s="50">
        <v>9</v>
      </c>
      <c r="J190" s="5">
        <f t="shared" si="38"/>
        <v>0.75</v>
      </c>
      <c r="K190" s="4"/>
    </row>
    <row r="191" spans="1:11" ht="24.95" customHeight="1" x14ac:dyDescent="0.3">
      <c r="A191" s="76"/>
      <c r="B191" s="66"/>
      <c r="C191" s="69"/>
      <c r="D191" s="7" t="s">
        <v>32</v>
      </c>
      <c r="E191" s="6">
        <v>1</v>
      </c>
      <c r="F191" s="6">
        <v>18</v>
      </c>
      <c r="G191" s="49"/>
      <c r="H191" s="49">
        <f t="shared" si="41"/>
        <v>18</v>
      </c>
      <c r="I191" s="50">
        <v>10</v>
      </c>
      <c r="J191" s="5">
        <f t="shared" si="38"/>
        <v>0.55555555555555558</v>
      </c>
      <c r="K191" s="4"/>
    </row>
    <row r="192" spans="1:11" ht="24.95" customHeight="1" x14ac:dyDescent="0.3">
      <c r="A192" s="76"/>
      <c r="B192" s="66"/>
      <c r="C192" s="69"/>
      <c r="D192" s="7" t="s">
        <v>23</v>
      </c>
      <c r="E192" s="6">
        <v>1</v>
      </c>
      <c r="F192" s="6">
        <v>7</v>
      </c>
      <c r="G192" s="49"/>
      <c r="H192" s="49">
        <f t="shared" si="41"/>
        <v>7</v>
      </c>
      <c r="I192" s="50">
        <v>6</v>
      </c>
      <c r="J192" s="5">
        <f t="shared" si="38"/>
        <v>0.8571428571428571</v>
      </c>
      <c r="K192" s="4"/>
    </row>
    <row r="193" spans="1:11" ht="24.95" customHeight="1" x14ac:dyDescent="0.3">
      <c r="A193" s="76"/>
      <c r="B193" s="66"/>
      <c r="C193" s="69"/>
      <c r="D193" s="7" t="s">
        <v>22</v>
      </c>
      <c r="E193" s="6">
        <v>1</v>
      </c>
      <c r="F193" s="6">
        <v>22</v>
      </c>
      <c r="G193" s="49"/>
      <c r="H193" s="49">
        <f t="shared" si="41"/>
        <v>22</v>
      </c>
      <c r="I193" s="50">
        <v>17</v>
      </c>
      <c r="J193" s="5">
        <f t="shared" si="38"/>
        <v>0.77272727272727271</v>
      </c>
      <c r="K193" s="4"/>
    </row>
    <row r="194" spans="1:11" ht="24.95" customHeight="1" x14ac:dyDescent="0.3">
      <c r="A194" s="76"/>
      <c r="B194" s="66"/>
      <c r="C194" s="69"/>
      <c r="D194" s="7" t="s">
        <v>6</v>
      </c>
      <c r="E194" s="6">
        <v>1</v>
      </c>
      <c r="F194" s="6">
        <v>14</v>
      </c>
      <c r="G194" s="49"/>
      <c r="H194" s="49">
        <f t="shared" si="41"/>
        <v>14</v>
      </c>
      <c r="I194" s="50">
        <v>11</v>
      </c>
      <c r="J194" s="5">
        <f t="shared" si="38"/>
        <v>0.7857142857142857</v>
      </c>
      <c r="K194" s="4"/>
    </row>
    <row r="195" spans="1:11" ht="24.95" customHeight="1" x14ac:dyDescent="0.3">
      <c r="A195" s="76"/>
      <c r="B195" s="66"/>
      <c r="C195" s="70"/>
      <c r="D195" s="7" t="s">
        <v>31</v>
      </c>
      <c r="E195" s="6">
        <v>1</v>
      </c>
      <c r="F195" s="6">
        <v>29</v>
      </c>
      <c r="G195" s="49"/>
      <c r="H195" s="49">
        <f t="shared" si="41"/>
        <v>29</v>
      </c>
      <c r="I195" s="50">
        <v>23</v>
      </c>
      <c r="J195" s="5">
        <f t="shared" si="38"/>
        <v>0.7931034482758621</v>
      </c>
      <c r="K195" s="4"/>
    </row>
    <row r="196" spans="1:11" ht="24.95" customHeight="1" x14ac:dyDescent="0.3">
      <c r="A196" s="76"/>
      <c r="B196" s="67"/>
      <c r="C196" s="8" t="s">
        <v>110</v>
      </c>
      <c r="D196" s="7" t="s">
        <v>0</v>
      </c>
      <c r="E196" s="6">
        <v>5</v>
      </c>
      <c r="F196" s="6">
        <v>2</v>
      </c>
      <c r="G196" s="49"/>
      <c r="H196" s="49">
        <f t="shared" si="41"/>
        <v>2</v>
      </c>
      <c r="I196" s="50">
        <v>2</v>
      </c>
      <c r="J196" s="5">
        <f t="shared" si="38"/>
        <v>1</v>
      </c>
      <c r="K196" s="4"/>
    </row>
    <row r="197" spans="1:11" ht="24.95" customHeight="1" x14ac:dyDescent="0.3">
      <c r="A197" s="76"/>
      <c r="B197" s="62" t="s">
        <v>38</v>
      </c>
      <c r="C197" s="27" t="s">
        <v>37</v>
      </c>
      <c r="D197" s="27"/>
      <c r="E197" s="27">
        <f t="shared" ref="E197:I197" si="42">SUM(E198:E202)</f>
        <v>6</v>
      </c>
      <c r="F197" s="27">
        <f t="shared" si="42"/>
        <v>62</v>
      </c>
      <c r="G197" s="51">
        <f t="shared" si="42"/>
        <v>1</v>
      </c>
      <c r="H197" s="51">
        <f t="shared" si="42"/>
        <v>61</v>
      </c>
      <c r="I197" s="51">
        <f t="shared" si="42"/>
        <v>46</v>
      </c>
      <c r="J197" s="21">
        <f t="shared" si="38"/>
        <v>0.75409836065573765</v>
      </c>
      <c r="K197" s="4"/>
    </row>
    <row r="198" spans="1:11" ht="24.95" customHeight="1" x14ac:dyDescent="0.3">
      <c r="A198" s="76"/>
      <c r="B198" s="63"/>
      <c r="C198" s="68" t="s">
        <v>111</v>
      </c>
      <c r="D198" s="7" t="s">
        <v>16</v>
      </c>
      <c r="E198" s="6">
        <v>2</v>
      </c>
      <c r="F198" s="6">
        <v>33</v>
      </c>
      <c r="G198" s="49">
        <v>1</v>
      </c>
      <c r="H198" s="49">
        <f>F198-G198</f>
        <v>32</v>
      </c>
      <c r="I198" s="50">
        <v>23</v>
      </c>
      <c r="J198" s="5">
        <f t="shared" si="38"/>
        <v>0.71875</v>
      </c>
      <c r="K198" s="4"/>
    </row>
    <row r="199" spans="1:11" ht="24.95" customHeight="1" x14ac:dyDescent="0.3">
      <c r="A199" s="76"/>
      <c r="B199" s="63"/>
      <c r="C199" s="69"/>
      <c r="D199" s="7" t="s">
        <v>32</v>
      </c>
      <c r="E199" s="6">
        <v>1</v>
      </c>
      <c r="F199" s="6">
        <v>5</v>
      </c>
      <c r="G199" s="49"/>
      <c r="H199" s="49">
        <f>F199-G199</f>
        <v>5</v>
      </c>
      <c r="I199" s="50">
        <v>5</v>
      </c>
      <c r="J199" s="5">
        <f t="shared" si="38"/>
        <v>1</v>
      </c>
      <c r="K199" s="4"/>
    </row>
    <row r="200" spans="1:11" ht="24.95" customHeight="1" x14ac:dyDescent="0.3">
      <c r="A200" s="76"/>
      <c r="B200" s="63"/>
      <c r="C200" s="69"/>
      <c r="D200" s="7" t="s">
        <v>11</v>
      </c>
      <c r="E200" s="6">
        <v>1</v>
      </c>
      <c r="F200" s="6">
        <v>4</v>
      </c>
      <c r="G200" s="49"/>
      <c r="H200" s="49">
        <f>F200-G200</f>
        <v>4</v>
      </c>
      <c r="I200" s="50">
        <v>3</v>
      </c>
      <c r="J200" s="5">
        <f t="shared" si="38"/>
        <v>0.75</v>
      </c>
      <c r="K200" s="4"/>
    </row>
    <row r="201" spans="1:11" ht="24.95" customHeight="1" x14ac:dyDescent="0.3">
      <c r="A201" s="76"/>
      <c r="B201" s="63"/>
      <c r="C201" s="69"/>
      <c r="D201" s="7" t="s">
        <v>24</v>
      </c>
      <c r="E201" s="6">
        <v>1</v>
      </c>
      <c r="F201" s="6">
        <v>7</v>
      </c>
      <c r="G201" s="49"/>
      <c r="H201" s="49">
        <f>F201-G201</f>
        <v>7</v>
      </c>
      <c r="I201" s="50">
        <v>6</v>
      </c>
      <c r="J201" s="5">
        <f t="shared" si="38"/>
        <v>0.8571428571428571</v>
      </c>
      <c r="K201" s="4"/>
    </row>
    <row r="202" spans="1:11" ht="24.95" customHeight="1" x14ac:dyDescent="0.3">
      <c r="A202" s="76"/>
      <c r="B202" s="64"/>
      <c r="C202" s="70"/>
      <c r="D202" s="7" t="s">
        <v>31</v>
      </c>
      <c r="E202" s="6">
        <v>1</v>
      </c>
      <c r="F202" s="6">
        <v>13</v>
      </c>
      <c r="G202" s="49"/>
      <c r="H202" s="49">
        <f>F202-G202</f>
        <v>13</v>
      </c>
      <c r="I202" s="50">
        <v>9</v>
      </c>
      <c r="J202" s="5">
        <f t="shared" si="38"/>
        <v>0.69230769230769229</v>
      </c>
      <c r="K202" s="4"/>
    </row>
    <row r="203" spans="1:11" ht="24.95" customHeight="1" x14ac:dyDescent="0.3">
      <c r="A203" s="76"/>
      <c r="B203" s="65" t="s">
        <v>36</v>
      </c>
      <c r="C203" s="27" t="s">
        <v>2</v>
      </c>
      <c r="D203" s="27"/>
      <c r="E203" s="27">
        <f t="shared" ref="E203:I203" si="43">SUM(E204:E216)</f>
        <v>21</v>
      </c>
      <c r="F203" s="27">
        <f t="shared" si="43"/>
        <v>104</v>
      </c>
      <c r="G203" s="51">
        <f t="shared" si="43"/>
        <v>2</v>
      </c>
      <c r="H203" s="51">
        <f t="shared" si="43"/>
        <v>102</v>
      </c>
      <c r="I203" s="51">
        <f t="shared" si="43"/>
        <v>69</v>
      </c>
      <c r="J203" s="21">
        <f t="shared" si="38"/>
        <v>0.67647058823529416</v>
      </c>
      <c r="K203" s="4"/>
    </row>
    <row r="204" spans="1:11" ht="24.95" customHeight="1" x14ac:dyDescent="0.3">
      <c r="A204" s="76"/>
      <c r="B204" s="66"/>
      <c r="C204" s="68" t="s">
        <v>112</v>
      </c>
      <c r="D204" s="7" t="s">
        <v>17</v>
      </c>
      <c r="E204" s="6">
        <v>2</v>
      </c>
      <c r="F204" s="6">
        <v>11</v>
      </c>
      <c r="G204" s="49"/>
      <c r="H204" s="49">
        <f t="shared" ref="H204:H216" si="44">F204-G204</f>
        <v>11</v>
      </c>
      <c r="I204" s="50">
        <v>8</v>
      </c>
      <c r="J204" s="5">
        <f t="shared" si="38"/>
        <v>0.72727272727272729</v>
      </c>
      <c r="K204" s="4"/>
    </row>
    <row r="205" spans="1:11" ht="24.95" customHeight="1" x14ac:dyDescent="0.3">
      <c r="A205" s="76"/>
      <c r="B205" s="66"/>
      <c r="C205" s="69"/>
      <c r="D205" s="7" t="s">
        <v>16</v>
      </c>
      <c r="E205" s="6">
        <v>2</v>
      </c>
      <c r="F205" s="6">
        <v>12</v>
      </c>
      <c r="G205" s="49"/>
      <c r="H205" s="49">
        <f t="shared" si="44"/>
        <v>12</v>
      </c>
      <c r="I205" s="50">
        <v>6</v>
      </c>
      <c r="J205" s="5">
        <f t="shared" si="38"/>
        <v>0.5</v>
      </c>
      <c r="K205" s="4"/>
    </row>
    <row r="206" spans="1:11" ht="24.95" customHeight="1" x14ac:dyDescent="0.3">
      <c r="A206" s="76"/>
      <c r="B206" s="66"/>
      <c r="C206" s="69"/>
      <c r="D206" s="7" t="s">
        <v>26</v>
      </c>
      <c r="E206" s="6">
        <v>1</v>
      </c>
      <c r="F206" s="6">
        <v>5</v>
      </c>
      <c r="G206" s="49"/>
      <c r="H206" s="49">
        <f t="shared" si="44"/>
        <v>5</v>
      </c>
      <c r="I206" s="50">
        <v>3</v>
      </c>
      <c r="J206" s="5">
        <f t="shared" si="38"/>
        <v>0.6</v>
      </c>
      <c r="K206" s="4"/>
    </row>
    <row r="207" spans="1:11" ht="24.95" customHeight="1" x14ac:dyDescent="0.3">
      <c r="A207" s="76"/>
      <c r="B207" s="66"/>
      <c r="C207" s="69"/>
      <c r="D207" s="7" t="s">
        <v>14</v>
      </c>
      <c r="E207" s="6">
        <v>2</v>
      </c>
      <c r="F207" s="6">
        <v>6</v>
      </c>
      <c r="G207" s="49"/>
      <c r="H207" s="49">
        <f t="shared" si="44"/>
        <v>6</v>
      </c>
      <c r="I207" s="50">
        <v>6</v>
      </c>
      <c r="J207" s="5">
        <f t="shared" si="38"/>
        <v>1</v>
      </c>
      <c r="K207" s="4"/>
    </row>
    <row r="208" spans="1:11" ht="24.95" customHeight="1" x14ac:dyDescent="0.3">
      <c r="A208" s="76"/>
      <c r="B208" s="66"/>
      <c r="C208" s="69"/>
      <c r="D208" s="7" t="s">
        <v>32</v>
      </c>
      <c r="E208" s="6">
        <v>1</v>
      </c>
      <c r="F208" s="6">
        <v>5</v>
      </c>
      <c r="G208" s="49"/>
      <c r="H208" s="49">
        <f t="shared" si="44"/>
        <v>5</v>
      </c>
      <c r="I208" s="50">
        <v>5</v>
      </c>
      <c r="J208" s="5">
        <f t="shared" si="38"/>
        <v>1</v>
      </c>
      <c r="K208" s="4"/>
    </row>
    <row r="209" spans="1:11" ht="24.95" customHeight="1" x14ac:dyDescent="0.3">
      <c r="A209" s="76"/>
      <c r="B209" s="66"/>
      <c r="C209" s="69"/>
      <c r="D209" s="7" t="s">
        <v>12</v>
      </c>
      <c r="E209" s="6">
        <v>2</v>
      </c>
      <c r="F209" s="6">
        <v>9</v>
      </c>
      <c r="G209" s="49"/>
      <c r="H209" s="49">
        <f t="shared" si="44"/>
        <v>9</v>
      </c>
      <c r="I209" s="50">
        <v>8</v>
      </c>
      <c r="J209" s="5">
        <f t="shared" si="38"/>
        <v>0.88888888888888884</v>
      </c>
      <c r="K209" s="4"/>
    </row>
    <row r="210" spans="1:11" ht="24.95" customHeight="1" x14ac:dyDescent="0.3">
      <c r="A210" s="76"/>
      <c r="B210" s="66"/>
      <c r="C210" s="69"/>
      <c r="D210" s="7" t="s">
        <v>25</v>
      </c>
      <c r="E210" s="6">
        <v>1</v>
      </c>
      <c r="F210" s="6">
        <v>4</v>
      </c>
      <c r="G210" s="49"/>
      <c r="H210" s="49">
        <f t="shared" si="44"/>
        <v>4</v>
      </c>
      <c r="I210" s="50">
        <v>1</v>
      </c>
      <c r="J210" s="5">
        <f t="shared" si="38"/>
        <v>0.25</v>
      </c>
      <c r="K210" s="4"/>
    </row>
    <row r="211" spans="1:11" ht="24.95" customHeight="1" x14ac:dyDescent="0.3">
      <c r="A211" s="76"/>
      <c r="B211" s="66"/>
      <c r="C211" s="69"/>
      <c r="D211" s="7" t="s">
        <v>23</v>
      </c>
      <c r="E211" s="6">
        <v>1</v>
      </c>
      <c r="F211" s="6">
        <v>7</v>
      </c>
      <c r="G211" s="49"/>
      <c r="H211" s="49">
        <f t="shared" si="44"/>
        <v>7</v>
      </c>
      <c r="I211" s="50">
        <v>4</v>
      </c>
      <c r="J211" s="5">
        <f t="shared" si="38"/>
        <v>0.5714285714285714</v>
      </c>
      <c r="K211" s="4"/>
    </row>
    <row r="212" spans="1:11" ht="24.95" customHeight="1" x14ac:dyDescent="0.3">
      <c r="A212" s="76"/>
      <c r="B212" s="66"/>
      <c r="C212" s="69"/>
      <c r="D212" s="7" t="s">
        <v>10</v>
      </c>
      <c r="E212" s="6">
        <v>1</v>
      </c>
      <c r="F212" s="6">
        <v>9</v>
      </c>
      <c r="G212" s="49"/>
      <c r="H212" s="49">
        <f t="shared" si="44"/>
        <v>9</v>
      </c>
      <c r="I212" s="50">
        <v>7</v>
      </c>
      <c r="J212" s="5">
        <f t="shared" ref="J212:J243" si="45">I212/H212</f>
        <v>0.77777777777777779</v>
      </c>
      <c r="K212" s="4"/>
    </row>
    <row r="213" spans="1:11" ht="24.95" customHeight="1" x14ac:dyDescent="0.3">
      <c r="A213" s="76"/>
      <c r="B213" s="66"/>
      <c r="C213" s="69"/>
      <c r="D213" s="7" t="s">
        <v>22</v>
      </c>
      <c r="E213" s="6">
        <v>1</v>
      </c>
      <c r="F213" s="6">
        <v>6</v>
      </c>
      <c r="G213" s="49"/>
      <c r="H213" s="49">
        <f t="shared" si="44"/>
        <v>6</v>
      </c>
      <c r="I213" s="50">
        <v>4</v>
      </c>
      <c r="J213" s="5">
        <f t="shared" si="45"/>
        <v>0.66666666666666663</v>
      </c>
      <c r="K213" s="4"/>
    </row>
    <row r="214" spans="1:11" ht="24.95" customHeight="1" x14ac:dyDescent="0.3">
      <c r="A214" s="76"/>
      <c r="B214" s="66"/>
      <c r="C214" s="69"/>
      <c r="D214" s="7" t="s">
        <v>20</v>
      </c>
      <c r="E214" s="6">
        <v>2</v>
      </c>
      <c r="F214" s="6">
        <v>8</v>
      </c>
      <c r="G214" s="49">
        <v>1</v>
      </c>
      <c r="H214" s="49">
        <f t="shared" si="44"/>
        <v>7</v>
      </c>
      <c r="I214" s="50">
        <v>5</v>
      </c>
      <c r="J214" s="5">
        <f t="shared" si="45"/>
        <v>0.7142857142857143</v>
      </c>
      <c r="K214" s="4"/>
    </row>
    <row r="215" spans="1:11" ht="24.95" customHeight="1" x14ac:dyDescent="0.3">
      <c r="A215" s="76"/>
      <c r="B215" s="66"/>
      <c r="C215" s="69"/>
      <c r="D215" s="7" t="s">
        <v>6</v>
      </c>
      <c r="E215" s="6">
        <v>3</v>
      </c>
      <c r="F215" s="6">
        <v>6</v>
      </c>
      <c r="G215" s="49">
        <v>1</v>
      </c>
      <c r="H215" s="49">
        <f t="shared" si="44"/>
        <v>5</v>
      </c>
      <c r="I215" s="50">
        <v>3</v>
      </c>
      <c r="J215" s="5">
        <f t="shared" si="45"/>
        <v>0.6</v>
      </c>
      <c r="K215" s="4"/>
    </row>
    <row r="216" spans="1:11" ht="24.95" customHeight="1" x14ac:dyDescent="0.3">
      <c r="A216" s="76"/>
      <c r="B216" s="67"/>
      <c r="C216" s="70"/>
      <c r="D216" s="7" t="s">
        <v>31</v>
      </c>
      <c r="E216" s="6">
        <v>2</v>
      </c>
      <c r="F216" s="6">
        <v>16</v>
      </c>
      <c r="G216" s="49"/>
      <c r="H216" s="49">
        <f t="shared" si="44"/>
        <v>16</v>
      </c>
      <c r="I216" s="50">
        <v>9</v>
      </c>
      <c r="J216" s="5">
        <f t="shared" si="45"/>
        <v>0.5625</v>
      </c>
      <c r="K216" s="4"/>
    </row>
    <row r="217" spans="1:11" ht="24.95" customHeight="1" x14ac:dyDescent="0.3">
      <c r="A217" s="76"/>
      <c r="B217" s="65" t="s">
        <v>35</v>
      </c>
      <c r="C217" s="27" t="s">
        <v>2</v>
      </c>
      <c r="D217" s="27"/>
      <c r="E217" s="27">
        <f t="shared" ref="E217:I217" si="46">E218+E223+E244+E246+E264</f>
        <v>169</v>
      </c>
      <c r="F217" s="27">
        <f t="shared" si="46"/>
        <v>632</v>
      </c>
      <c r="G217" s="51">
        <f t="shared" si="46"/>
        <v>1</v>
      </c>
      <c r="H217" s="51">
        <f t="shared" si="46"/>
        <v>631</v>
      </c>
      <c r="I217" s="51">
        <f t="shared" si="46"/>
        <v>493</v>
      </c>
      <c r="J217" s="20">
        <f t="shared" si="45"/>
        <v>0.78129952456418383</v>
      </c>
      <c r="K217" s="27"/>
    </row>
    <row r="218" spans="1:11" ht="24.95" customHeight="1" x14ac:dyDescent="0.3">
      <c r="A218" s="76"/>
      <c r="B218" s="66"/>
      <c r="C218" s="12" t="s">
        <v>34</v>
      </c>
      <c r="D218" s="12" t="s">
        <v>18</v>
      </c>
      <c r="E218" s="12">
        <f t="shared" ref="E218:I218" si="47">SUM(E219:E222)</f>
        <v>6</v>
      </c>
      <c r="F218" s="12">
        <f t="shared" si="47"/>
        <v>30</v>
      </c>
      <c r="G218" s="55">
        <f t="shared" si="47"/>
        <v>0</v>
      </c>
      <c r="H218" s="55">
        <f t="shared" si="47"/>
        <v>30</v>
      </c>
      <c r="I218" s="55">
        <f t="shared" si="47"/>
        <v>14</v>
      </c>
      <c r="J218" s="19">
        <f t="shared" si="45"/>
        <v>0.46666666666666667</v>
      </c>
      <c r="K218" s="18"/>
    </row>
    <row r="219" spans="1:11" ht="24.95" customHeight="1" x14ac:dyDescent="0.3">
      <c r="A219" s="76"/>
      <c r="B219" s="66"/>
      <c r="C219" s="68" t="s">
        <v>113</v>
      </c>
      <c r="D219" s="7" t="s">
        <v>15</v>
      </c>
      <c r="E219" s="6">
        <v>2</v>
      </c>
      <c r="F219" s="6">
        <v>6</v>
      </c>
      <c r="G219" s="49"/>
      <c r="H219" s="49">
        <f>F219-G219</f>
        <v>6</v>
      </c>
      <c r="I219" s="50">
        <v>3</v>
      </c>
      <c r="J219" s="5">
        <f t="shared" si="45"/>
        <v>0.5</v>
      </c>
      <c r="K219" s="4"/>
    </row>
    <row r="220" spans="1:11" ht="24.95" customHeight="1" x14ac:dyDescent="0.3">
      <c r="A220" s="76"/>
      <c r="B220" s="66"/>
      <c r="C220" s="69"/>
      <c r="D220" s="7" t="s">
        <v>11</v>
      </c>
      <c r="E220" s="6">
        <v>1</v>
      </c>
      <c r="F220" s="6">
        <v>9</v>
      </c>
      <c r="G220" s="49"/>
      <c r="H220" s="49">
        <f>F220-G220</f>
        <v>9</v>
      </c>
      <c r="I220" s="50">
        <v>2</v>
      </c>
      <c r="J220" s="5">
        <f t="shared" si="45"/>
        <v>0.22222222222222221</v>
      </c>
      <c r="K220" s="4"/>
    </row>
    <row r="221" spans="1:11" ht="24.95" customHeight="1" x14ac:dyDescent="0.3">
      <c r="A221" s="76"/>
      <c r="B221" s="66"/>
      <c r="C221" s="69"/>
      <c r="D221" s="7" t="s">
        <v>24</v>
      </c>
      <c r="E221" s="6">
        <v>2</v>
      </c>
      <c r="F221" s="6">
        <v>9</v>
      </c>
      <c r="G221" s="49"/>
      <c r="H221" s="49">
        <f>F221-G221</f>
        <v>9</v>
      </c>
      <c r="I221" s="50">
        <v>5</v>
      </c>
      <c r="J221" s="5">
        <f t="shared" si="45"/>
        <v>0.55555555555555558</v>
      </c>
      <c r="K221" s="4"/>
    </row>
    <row r="222" spans="1:11" ht="24.95" customHeight="1" x14ac:dyDescent="0.3">
      <c r="A222" s="76"/>
      <c r="B222" s="66"/>
      <c r="C222" s="70"/>
      <c r="D222" s="7" t="s">
        <v>10</v>
      </c>
      <c r="E222" s="6">
        <v>1</v>
      </c>
      <c r="F222" s="6">
        <v>6</v>
      </c>
      <c r="G222" s="49"/>
      <c r="H222" s="49">
        <f>F222-G222</f>
        <v>6</v>
      </c>
      <c r="I222" s="50">
        <v>4</v>
      </c>
      <c r="J222" s="5">
        <f t="shared" si="45"/>
        <v>0.66666666666666663</v>
      </c>
      <c r="K222" s="4"/>
    </row>
    <row r="223" spans="1:11" ht="24.95" customHeight="1" x14ac:dyDescent="0.3">
      <c r="A223" s="76"/>
      <c r="B223" s="66"/>
      <c r="C223" s="12" t="s">
        <v>33</v>
      </c>
      <c r="D223" s="12" t="s">
        <v>18</v>
      </c>
      <c r="E223" s="12">
        <f t="shared" ref="E223:I223" si="48">SUM(E224:E243)</f>
        <v>94</v>
      </c>
      <c r="F223" s="12">
        <f t="shared" si="48"/>
        <v>339</v>
      </c>
      <c r="G223" s="55">
        <f t="shared" si="48"/>
        <v>1</v>
      </c>
      <c r="H223" s="55">
        <f t="shared" si="48"/>
        <v>338</v>
      </c>
      <c r="I223" s="55">
        <f t="shared" si="48"/>
        <v>265</v>
      </c>
      <c r="J223" s="13">
        <f t="shared" si="45"/>
        <v>0.78402366863905326</v>
      </c>
      <c r="K223" s="12"/>
    </row>
    <row r="224" spans="1:11" ht="24.95" customHeight="1" x14ac:dyDescent="0.3">
      <c r="A224" s="76"/>
      <c r="B224" s="66"/>
      <c r="C224" s="68" t="s">
        <v>114</v>
      </c>
      <c r="D224" s="7" t="s">
        <v>17</v>
      </c>
      <c r="E224" s="6">
        <v>5</v>
      </c>
      <c r="F224" s="6">
        <v>14</v>
      </c>
      <c r="G224" s="49"/>
      <c r="H224" s="49">
        <f t="shared" ref="H224:H243" si="49">F224-G224</f>
        <v>14</v>
      </c>
      <c r="I224" s="50">
        <v>11</v>
      </c>
      <c r="J224" s="5">
        <f t="shared" si="45"/>
        <v>0.7857142857142857</v>
      </c>
      <c r="K224" s="4"/>
    </row>
    <row r="225" spans="1:11" ht="24.95" customHeight="1" x14ac:dyDescent="0.3">
      <c r="A225" s="76"/>
      <c r="B225" s="66"/>
      <c r="C225" s="69"/>
      <c r="D225" s="7" t="s">
        <v>16</v>
      </c>
      <c r="E225" s="6">
        <v>4</v>
      </c>
      <c r="F225" s="6">
        <v>19</v>
      </c>
      <c r="G225" s="49"/>
      <c r="H225" s="49">
        <f t="shared" si="49"/>
        <v>19</v>
      </c>
      <c r="I225" s="50">
        <v>14</v>
      </c>
      <c r="J225" s="5">
        <f t="shared" si="45"/>
        <v>0.73684210526315785</v>
      </c>
      <c r="K225" s="4"/>
    </row>
    <row r="226" spans="1:11" ht="24.95" customHeight="1" x14ac:dyDescent="0.3">
      <c r="A226" s="76"/>
      <c r="B226" s="66"/>
      <c r="C226" s="69"/>
      <c r="D226" s="7" t="s">
        <v>15</v>
      </c>
      <c r="E226" s="6">
        <v>7</v>
      </c>
      <c r="F226" s="6">
        <v>35</v>
      </c>
      <c r="G226" s="49"/>
      <c r="H226" s="49">
        <f t="shared" si="49"/>
        <v>35</v>
      </c>
      <c r="I226" s="50">
        <v>29</v>
      </c>
      <c r="J226" s="5">
        <f t="shared" si="45"/>
        <v>0.82857142857142863</v>
      </c>
      <c r="K226" s="4"/>
    </row>
    <row r="227" spans="1:11" ht="24.95" customHeight="1" x14ac:dyDescent="0.3">
      <c r="A227" s="76"/>
      <c r="B227" s="66"/>
      <c r="C227" s="69"/>
      <c r="D227" s="7" t="s">
        <v>26</v>
      </c>
      <c r="E227" s="6">
        <v>11</v>
      </c>
      <c r="F227" s="6">
        <v>52</v>
      </c>
      <c r="G227" s="49"/>
      <c r="H227" s="49">
        <f t="shared" si="49"/>
        <v>52</v>
      </c>
      <c r="I227" s="50">
        <v>41</v>
      </c>
      <c r="J227" s="5">
        <f t="shared" si="45"/>
        <v>0.78846153846153844</v>
      </c>
      <c r="K227" s="4"/>
    </row>
    <row r="228" spans="1:11" ht="24.95" customHeight="1" x14ac:dyDescent="0.3">
      <c r="A228" s="76"/>
      <c r="B228" s="66"/>
      <c r="C228" s="69"/>
      <c r="D228" s="7" t="s">
        <v>14</v>
      </c>
      <c r="E228" s="6">
        <v>5</v>
      </c>
      <c r="F228" s="6">
        <v>26</v>
      </c>
      <c r="G228" s="49"/>
      <c r="H228" s="49">
        <f t="shared" si="49"/>
        <v>26</v>
      </c>
      <c r="I228" s="50">
        <v>22</v>
      </c>
      <c r="J228" s="5">
        <f t="shared" si="45"/>
        <v>0.84615384615384615</v>
      </c>
      <c r="K228" s="4"/>
    </row>
    <row r="229" spans="1:11" ht="24.95" customHeight="1" x14ac:dyDescent="0.3">
      <c r="A229" s="76"/>
      <c r="B229" s="66"/>
      <c r="C229" s="69"/>
      <c r="D229" s="7" t="s">
        <v>32</v>
      </c>
      <c r="E229" s="6">
        <v>1</v>
      </c>
      <c r="F229" s="6">
        <v>2</v>
      </c>
      <c r="G229" s="49"/>
      <c r="H229" s="49">
        <f t="shared" si="49"/>
        <v>2</v>
      </c>
      <c r="I229" s="50">
        <v>1</v>
      </c>
      <c r="J229" s="5">
        <f t="shared" si="45"/>
        <v>0.5</v>
      </c>
      <c r="K229" s="4"/>
    </row>
    <row r="230" spans="1:11" ht="24.95" customHeight="1" x14ac:dyDescent="0.3">
      <c r="A230" s="76"/>
      <c r="B230" s="66"/>
      <c r="C230" s="69"/>
      <c r="D230" s="7" t="s">
        <v>13</v>
      </c>
      <c r="E230" s="6">
        <v>3</v>
      </c>
      <c r="F230" s="6">
        <v>6</v>
      </c>
      <c r="G230" s="49"/>
      <c r="H230" s="49">
        <f t="shared" si="49"/>
        <v>6</v>
      </c>
      <c r="I230" s="50">
        <v>4</v>
      </c>
      <c r="J230" s="5">
        <f t="shared" si="45"/>
        <v>0.66666666666666663</v>
      </c>
      <c r="K230" s="4"/>
    </row>
    <row r="231" spans="1:11" ht="24.95" customHeight="1" x14ac:dyDescent="0.3">
      <c r="A231" s="76"/>
      <c r="B231" s="66"/>
      <c r="C231" s="69"/>
      <c r="D231" s="7" t="s">
        <v>12</v>
      </c>
      <c r="E231" s="6">
        <v>5</v>
      </c>
      <c r="F231" s="6">
        <v>18</v>
      </c>
      <c r="G231" s="49"/>
      <c r="H231" s="49">
        <f t="shared" si="49"/>
        <v>18</v>
      </c>
      <c r="I231" s="50">
        <v>14</v>
      </c>
      <c r="J231" s="5">
        <f t="shared" si="45"/>
        <v>0.77777777777777779</v>
      </c>
      <c r="K231" s="4"/>
    </row>
    <row r="232" spans="1:11" ht="24.95" customHeight="1" x14ac:dyDescent="0.3">
      <c r="A232" s="76"/>
      <c r="B232" s="66"/>
      <c r="C232" s="69"/>
      <c r="D232" s="7" t="s">
        <v>25</v>
      </c>
      <c r="E232" s="6">
        <v>3</v>
      </c>
      <c r="F232" s="6">
        <v>12</v>
      </c>
      <c r="G232" s="49"/>
      <c r="H232" s="49">
        <f t="shared" si="49"/>
        <v>12</v>
      </c>
      <c r="I232" s="50">
        <v>7</v>
      </c>
      <c r="J232" s="5">
        <f t="shared" si="45"/>
        <v>0.58333333333333337</v>
      </c>
      <c r="K232" s="4"/>
    </row>
    <row r="233" spans="1:11" ht="24.95" customHeight="1" x14ac:dyDescent="0.3">
      <c r="A233" s="76"/>
      <c r="B233" s="66"/>
      <c r="C233" s="69"/>
      <c r="D233" s="7" t="s">
        <v>24</v>
      </c>
      <c r="E233" s="6">
        <v>4</v>
      </c>
      <c r="F233" s="6">
        <v>5</v>
      </c>
      <c r="G233" s="49"/>
      <c r="H233" s="49">
        <f t="shared" si="49"/>
        <v>5</v>
      </c>
      <c r="I233" s="50">
        <v>5</v>
      </c>
      <c r="J233" s="5">
        <f t="shared" si="45"/>
        <v>1</v>
      </c>
      <c r="K233" s="4"/>
    </row>
    <row r="234" spans="1:11" ht="24.95" customHeight="1" x14ac:dyDescent="0.3">
      <c r="A234" s="76"/>
      <c r="B234" s="66"/>
      <c r="C234" s="69"/>
      <c r="D234" s="7" t="s">
        <v>23</v>
      </c>
      <c r="E234" s="6">
        <v>2</v>
      </c>
      <c r="F234" s="6">
        <v>3</v>
      </c>
      <c r="G234" s="49"/>
      <c r="H234" s="49">
        <f t="shared" si="49"/>
        <v>3</v>
      </c>
      <c r="I234" s="50">
        <v>3</v>
      </c>
      <c r="J234" s="5">
        <f t="shared" si="45"/>
        <v>1</v>
      </c>
      <c r="K234" s="4"/>
    </row>
    <row r="235" spans="1:11" ht="24.95" customHeight="1" x14ac:dyDescent="0.3">
      <c r="A235" s="76"/>
      <c r="B235" s="66"/>
      <c r="C235" s="69"/>
      <c r="D235" s="7" t="s">
        <v>10</v>
      </c>
      <c r="E235" s="6">
        <v>6</v>
      </c>
      <c r="F235" s="6">
        <v>10</v>
      </c>
      <c r="G235" s="49"/>
      <c r="H235" s="49">
        <f t="shared" si="49"/>
        <v>10</v>
      </c>
      <c r="I235" s="50">
        <v>8</v>
      </c>
      <c r="J235" s="5">
        <f t="shared" si="45"/>
        <v>0.8</v>
      </c>
      <c r="K235" s="4"/>
    </row>
    <row r="236" spans="1:11" ht="24.95" customHeight="1" x14ac:dyDescent="0.3">
      <c r="A236" s="76"/>
      <c r="B236" s="66"/>
      <c r="C236" s="69"/>
      <c r="D236" s="7" t="s">
        <v>9</v>
      </c>
      <c r="E236" s="6">
        <v>13</v>
      </c>
      <c r="F236" s="6">
        <v>74</v>
      </c>
      <c r="G236" s="49">
        <v>1</v>
      </c>
      <c r="H236" s="49">
        <f t="shared" si="49"/>
        <v>73</v>
      </c>
      <c r="I236" s="50">
        <v>59</v>
      </c>
      <c r="J236" s="5">
        <f t="shared" si="45"/>
        <v>0.80821917808219179</v>
      </c>
      <c r="K236" s="4"/>
    </row>
    <row r="237" spans="1:11" ht="24.95" customHeight="1" x14ac:dyDescent="0.3">
      <c r="A237" s="76"/>
      <c r="B237" s="66"/>
      <c r="C237" s="69"/>
      <c r="D237" s="7" t="s">
        <v>22</v>
      </c>
      <c r="E237" s="6">
        <v>2</v>
      </c>
      <c r="F237" s="6">
        <v>3</v>
      </c>
      <c r="G237" s="49"/>
      <c r="H237" s="49">
        <f t="shared" si="49"/>
        <v>3</v>
      </c>
      <c r="I237" s="50">
        <v>2</v>
      </c>
      <c r="J237" s="5">
        <f t="shared" si="45"/>
        <v>0.66666666666666663</v>
      </c>
      <c r="K237" s="4"/>
    </row>
    <row r="238" spans="1:11" ht="24.95" customHeight="1" x14ac:dyDescent="0.3">
      <c r="A238" s="76"/>
      <c r="B238" s="66"/>
      <c r="C238" s="69"/>
      <c r="D238" s="7" t="s">
        <v>21</v>
      </c>
      <c r="E238" s="6">
        <v>3</v>
      </c>
      <c r="F238" s="6">
        <v>2</v>
      </c>
      <c r="G238" s="49"/>
      <c r="H238" s="49">
        <f t="shared" si="49"/>
        <v>2</v>
      </c>
      <c r="I238" s="50">
        <v>2</v>
      </c>
      <c r="J238" s="5">
        <f t="shared" si="45"/>
        <v>1</v>
      </c>
      <c r="K238" s="4"/>
    </row>
    <row r="239" spans="1:11" ht="24.95" customHeight="1" x14ac:dyDescent="0.3">
      <c r="A239" s="76"/>
      <c r="B239" s="66"/>
      <c r="C239" s="69"/>
      <c r="D239" s="7" t="s">
        <v>8</v>
      </c>
      <c r="E239" s="6">
        <v>4</v>
      </c>
      <c r="F239" s="6">
        <v>9</v>
      </c>
      <c r="G239" s="49"/>
      <c r="H239" s="49">
        <f t="shared" si="49"/>
        <v>9</v>
      </c>
      <c r="I239" s="50">
        <v>6</v>
      </c>
      <c r="J239" s="5">
        <f t="shared" si="45"/>
        <v>0.66666666666666663</v>
      </c>
      <c r="K239" s="4"/>
    </row>
    <row r="240" spans="1:11" ht="24.95" customHeight="1" x14ac:dyDescent="0.3">
      <c r="A240" s="76"/>
      <c r="B240" s="66"/>
      <c r="C240" s="69"/>
      <c r="D240" s="7" t="s">
        <v>20</v>
      </c>
      <c r="E240" s="6">
        <v>5</v>
      </c>
      <c r="F240" s="6">
        <v>9</v>
      </c>
      <c r="G240" s="49"/>
      <c r="H240" s="49">
        <f t="shared" si="49"/>
        <v>9</v>
      </c>
      <c r="I240" s="50">
        <v>8</v>
      </c>
      <c r="J240" s="5">
        <f t="shared" si="45"/>
        <v>0.88888888888888884</v>
      </c>
      <c r="K240" s="4"/>
    </row>
    <row r="241" spans="1:11" ht="24.95" customHeight="1" x14ac:dyDescent="0.3">
      <c r="A241" s="76"/>
      <c r="B241" s="66"/>
      <c r="C241" s="69"/>
      <c r="D241" s="7" t="s">
        <v>6</v>
      </c>
      <c r="E241" s="6">
        <v>4</v>
      </c>
      <c r="F241" s="6">
        <v>7</v>
      </c>
      <c r="G241" s="49"/>
      <c r="H241" s="49">
        <f t="shared" si="49"/>
        <v>7</v>
      </c>
      <c r="I241" s="50">
        <v>7</v>
      </c>
      <c r="J241" s="5">
        <f t="shared" si="45"/>
        <v>1</v>
      </c>
      <c r="K241" s="4"/>
    </row>
    <row r="242" spans="1:11" ht="24.95" customHeight="1" x14ac:dyDescent="0.3">
      <c r="A242" s="76"/>
      <c r="B242" s="66"/>
      <c r="C242" s="70"/>
      <c r="D242" s="7" t="s">
        <v>31</v>
      </c>
      <c r="E242" s="6">
        <v>5</v>
      </c>
      <c r="F242" s="6">
        <v>32</v>
      </c>
      <c r="G242" s="49"/>
      <c r="H242" s="49">
        <f t="shared" si="49"/>
        <v>32</v>
      </c>
      <c r="I242" s="50">
        <v>21</v>
      </c>
      <c r="J242" s="5">
        <f t="shared" si="45"/>
        <v>0.65625</v>
      </c>
      <c r="K242" s="4"/>
    </row>
    <row r="243" spans="1:11" ht="24.95" customHeight="1" x14ac:dyDescent="0.3">
      <c r="A243" s="76"/>
      <c r="B243" s="66"/>
      <c r="C243" s="8" t="s">
        <v>115</v>
      </c>
      <c r="D243" s="7" t="s">
        <v>0</v>
      </c>
      <c r="E243" s="6">
        <v>2</v>
      </c>
      <c r="F243" s="6">
        <v>1</v>
      </c>
      <c r="G243" s="49"/>
      <c r="H243" s="49">
        <f t="shared" si="49"/>
        <v>1</v>
      </c>
      <c r="I243" s="50">
        <v>1</v>
      </c>
      <c r="J243" s="5">
        <f t="shared" si="45"/>
        <v>1</v>
      </c>
      <c r="K243" s="4"/>
    </row>
    <row r="244" spans="1:11" ht="24.95" customHeight="1" x14ac:dyDescent="0.3">
      <c r="A244" s="76"/>
      <c r="B244" s="66"/>
      <c r="C244" s="12" t="s">
        <v>30</v>
      </c>
      <c r="D244" s="17" t="s">
        <v>29</v>
      </c>
      <c r="E244" s="15">
        <f t="shared" ref="E244:I244" si="50">SUM(E245)</f>
        <v>2</v>
      </c>
      <c r="F244" s="15">
        <f t="shared" si="50"/>
        <v>1</v>
      </c>
      <c r="G244" s="56">
        <f t="shared" si="50"/>
        <v>0</v>
      </c>
      <c r="H244" s="56">
        <f t="shared" si="50"/>
        <v>1</v>
      </c>
      <c r="I244" s="56">
        <f t="shared" si="50"/>
        <v>1</v>
      </c>
      <c r="J244" s="16">
        <f t="shared" ref="J244:J259" si="51">I244/H244</f>
        <v>1</v>
      </c>
      <c r="K244" s="15"/>
    </row>
    <row r="245" spans="1:11" ht="24.95" customHeight="1" x14ac:dyDescent="0.3">
      <c r="A245" s="76"/>
      <c r="B245" s="66"/>
      <c r="C245" s="8" t="s">
        <v>30</v>
      </c>
      <c r="D245" s="14" t="s">
        <v>28</v>
      </c>
      <c r="E245" s="6">
        <v>2</v>
      </c>
      <c r="F245" s="6">
        <v>1</v>
      </c>
      <c r="G245" s="49"/>
      <c r="H245" s="58">
        <f>F245-G245</f>
        <v>1</v>
      </c>
      <c r="I245" s="50">
        <v>1</v>
      </c>
      <c r="J245" s="5">
        <f t="shared" si="51"/>
        <v>1</v>
      </c>
      <c r="K245" s="4"/>
    </row>
    <row r="246" spans="1:11" ht="24.95" customHeight="1" x14ac:dyDescent="0.3">
      <c r="A246" s="76"/>
      <c r="B246" s="66"/>
      <c r="C246" s="12" t="s">
        <v>27</v>
      </c>
      <c r="D246" s="12" t="s">
        <v>18</v>
      </c>
      <c r="E246" s="12">
        <f t="shared" ref="E246:I246" si="52">SUM(E247:E263)</f>
        <v>50</v>
      </c>
      <c r="F246" s="12">
        <f t="shared" si="52"/>
        <v>185</v>
      </c>
      <c r="G246" s="55">
        <f t="shared" si="52"/>
        <v>0</v>
      </c>
      <c r="H246" s="55">
        <f t="shared" si="52"/>
        <v>185</v>
      </c>
      <c r="I246" s="55">
        <f t="shared" si="52"/>
        <v>148</v>
      </c>
      <c r="J246" s="13">
        <f t="shared" si="51"/>
        <v>0.8</v>
      </c>
      <c r="K246" s="12"/>
    </row>
    <row r="247" spans="1:11" ht="24.95" customHeight="1" x14ac:dyDescent="0.3">
      <c r="A247" s="76"/>
      <c r="B247" s="66"/>
      <c r="C247" s="68" t="s">
        <v>116</v>
      </c>
      <c r="D247" s="7" t="s">
        <v>17</v>
      </c>
      <c r="E247" s="6">
        <v>4</v>
      </c>
      <c r="F247" s="6">
        <v>17</v>
      </c>
      <c r="G247" s="49"/>
      <c r="H247" s="49">
        <f t="shared" ref="H247:H263" si="53">F247-G247</f>
        <v>17</v>
      </c>
      <c r="I247" s="50">
        <v>11</v>
      </c>
      <c r="J247" s="5">
        <f t="shared" si="51"/>
        <v>0.6470588235294118</v>
      </c>
      <c r="K247" s="4"/>
    </row>
    <row r="248" spans="1:11" ht="24.95" customHeight="1" x14ac:dyDescent="0.3">
      <c r="A248" s="76"/>
      <c r="B248" s="66"/>
      <c r="C248" s="69"/>
      <c r="D248" s="7" t="s">
        <v>16</v>
      </c>
      <c r="E248" s="6">
        <v>3</v>
      </c>
      <c r="F248" s="6">
        <v>13</v>
      </c>
      <c r="G248" s="49"/>
      <c r="H248" s="49">
        <f t="shared" si="53"/>
        <v>13</v>
      </c>
      <c r="I248" s="50">
        <v>12</v>
      </c>
      <c r="J248" s="5">
        <f t="shared" si="51"/>
        <v>0.92307692307692313</v>
      </c>
      <c r="K248" s="4"/>
    </row>
    <row r="249" spans="1:11" ht="24.95" customHeight="1" x14ac:dyDescent="0.3">
      <c r="A249" s="76"/>
      <c r="B249" s="66"/>
      <c r="C249" s="69"/>
      <c r="D249" s="7" t="s">
        <v>15</v>
      </c>
      <c r="E249" s="6">
        <v>2</v>
      </c>
      <c r="F249" s="6">
        <v>14</v>
      </c>
      <c r="G249" s="49"/>
      <c r="H249" s="49">
        <f t="shared" si="53"/>
        <v>14</v>
      </c>
      <c r="I249" s="50">
        <v>12</v>
      </c>
      <c r="J249" s="5">
        <f t="shared" si="51"/>
        <v>0.8571428571428571</v>
      </c>
      <c r="K249" s="4"/>
    </row>
    <row r="250" spans="1:11" ht="24.95" customHeight="1" x14ac:dyDescent="0.3">
      <c r="A250" s="76"/>
      <c r="B250" s="66"/>
      <c r="C250" s="69"/>
      <c r="D250" s="7" t="s">
        <v>26</v>
      </c>
      <c r="E250" s="6">
        <v>4</v>
      </c>
      <c r="F250" s="6">
        <v>11</v>
      </c>
      <c r="G250" s="49"/>
      <c r="H250" s="49">
        <f t="shared" si="53"/>
        <v>11</v>
      </c>
      <c r="I250" s="50">
        <v>9</v>
      </c>
      <c r="J250" s="5">
        <f t="shared" si="51"/>
        <v>0.81818181818181823</v>
      </c>
      <c r="K250" s="4"/>
    </row>
    <row r="251" spans="1:11" ht="24.95" customHeight="1" x14ac:dyDescent="0.3">
      <c r="A251" s="76"/>
      <c r="B251" s="66"/>
      <c r="C251" s="69"/>
      <c r="D251" s="7" t="s">
        <v>14</v>
      </c>
      <c r="E251" s="6">
        <v>3</v>
      </c>
      <c r="F251" s="6">
        <v>26</v>
      </c>
      <c r="G251" s="49"/>
      <c r="H251" s="49">
        <f t="shared" si="53"/>
        <v>26</v>
      </c>
      <c r="I251" s="50">
        <v>19</v>
      </c>
      <c r="J251" s="5">
        <f t="shared" si="51"/>
        <v>0.73076923076923073</v>
      </c>
      <c r="K251" s="4"/>
    </row>
    <row r="252" spans="1:11" ht="24.95" customHeight="1" x14ac:dyDescent="0.3">
      <c r="A252" s="76"/>
      <c r="B252" s="66"/>
      <c r="C252" s="69"/>
      <c r="D252" s="7" t="s">
        <v>13</v>
      </c>
      <c r="E252" s="6">
        <v>3</v>
      </c>
      <c r="F252" s="6">
        <v>12</v>
      </c>
      <c r="G252" s="49"/>
      <c r="H252" s="49">
        <f t="shared" si="53"/>
        <v>12</v>
      </c>
      <c r="I252" s="50">
        <v>11</v>
      </c>
      <c r="J252" s="5">
        <f t="shared" si="51"/>
        <v>0.91666666666666663</v>
      </c>
      <c r="K252" s="4"/>
    </row>
    <row r="253" spans="1:11" ht="24.95" customHeight="1" x14ac:dyDescent="0.3">
      <c r="A253" s="76"/>
      <c r="B253" s="66"/>
      <c r="C253" s="69"/>
      <c r="D253" s="7" t="s">
        <v>12</v>
      </c>
      <c r="E253" s="6">
        <v>3</v>
      </c>
      <c r="F253" s="6">
        <v>6</v>
      </c>
      <c r="G253" s="49"/>
      <c r="H253" s="49">
        <f t="shared" si="53"/>
        <v>6</v>
      </c>
      <c r="I253" s="50">
        <v>6</v>
      </c>
      <c r="J253" s="5">
        <f t="shared" si="51"/>
        <v>1</v>
      </c>
      <c r="K253" s="4"/>
    </row>
    <row r="254" spans="1:11" ht="24.95" customHeight="1" x14ac:dyDescent="0.3">
      <c r="A254" s="76"/>
      <c r="B254" s="66"/>
      <c r="C254" s="69"/>
      <c r="D254" s="7" t="s">
        <v>25</v>
      </c>
      <c r="E254" s="6">
        <v>1</v>
      </c>
      <c r="F254" s="6">
        <v>5</v>
      </c>
      <c r="G254" s="49"/>
      <c r="H254" s="49">
        <f t="shared" si="53"/>
        <v>5</v>
      </c>
      <c r="I254" s="50">
        <v>2</v>
      </c>
      <c r="J254" s="5">
        <f t="shared" si="51"/>
        <v>0.4</v>
      </c>
      <c r="K254" s="4"/>
    </row>
    <row r="255" spans="1:11" ht="24.95" customHeight="1" x14ac:dyDescent="0.3">
      <c r="A255" s="76"/>
      <c r="B255" s="66"/>
      <c r="C255" s="69"/>
      <c r="D255" s="7" t="s">
        <v>24</v>
      </c>
      <c r="E255" s="6">
        <v>4</v>
      </c>
      <c r="F255" s="6">
        <v>12</v>
      </c>
      <c r="G255" s="49"/>
      <c r="H255" s="49">
        <f t="shared" si="53"/>
        <v>12</v>
      </c>
      <c r="I255" s="50">
        <v>9</v>
      </c>
      <c r="J255" s="5">
        <f t="shared" si="51"/>
        <v>0.75</v>
      </c>
      <c r="K255" s="4"/>
    </row>
    <row r="256" spans="1:11" ht="24.95" customHeight="1" x14ac:dyDescent="0.3">
      <c r="A256" s="76"/>
      <c r="B256" s="66"/>
      <c r="C256" s="69"/>
      <c r="D256" s="7" t="s">
        <v>23</v>
      </c>
      <c r="E256" s="6">
        <v>2</v>
      </c>
      <c r="F256" s="6">
        <v>7</v>
      </c>
      <c r="G256" s="49"/>
      <c r="H256" s="49">
        <f t="shared" si="53"/>
        <v>7</v>
      </c>
      <c r="I256" s="50">
        <v>6</v>
      </c>
      <c r="J256" s="5">
        <f t="shared" si="51"/>
        <v>0.8571428571428571</v>
      </c>
      <c r="K256" s="4"/>
    </row>
    <row r="257" spans="1:11" ht="24.95" customHeight="1" x14ac:dyDescent="0.3">
      <c r="A257" s="76"/>
      <c r="B257" s="66"/>
      <c r="C257" s="69"/>
      <c r="D257" s="7" t="s">
        <v>10</v>
      </c>
      <c r="E257" s="6">
        <v>4</v>
      </c>
      <c r="F257" s="6">
        <v>11</v>
      </c>
      <c r="G257" s="49"/>
      <c r="H257" s="49">
        <f t="shared" si="53"/>
        <v>11</v>
      </c>
      <c r="I257" s="50">
        <v>10</v>
      </c>
      <c r="J257" s="5">
        <f t="shared" si="51"/>
        <v>0.90909090909090906</v>
      </c>
      <c r="K257" s="4"/>
    </row>
    <row r="258" spans="1:11" ht="24.95" customHeight="1" x14ac:dyDescent="0.3">
      <c r="A258" s="76"/>
      <c r="B258" s="66"/>
      <c r="C258" s="69"/>
      <c r="D258" s="7" t="s">
        <v>9</v>
      </c>
      <c r="E258" s="6">
        <v>7</v>
      </c>
      <c r="F258" s="6">
        <v>25</v>
      </c>
      <c r="G258" s="49"/>
      <c r="H258" s="49">
        <f t="shared" si="53"/>
        <v>25</v>
      </c>
      <c r="I258" s="50">
        <v>21</v>
      </c>
      <c r="J258" s="5">
        <f t="shared" si="51"/>
        <v>0.84</v>
      </c>
      <c r="K258" s="4"/>
    </row>
    <row r="259" spans="1:11" ht="24.95" customHeight="1" x14ac:dyDescent="0.3">
      <c r="A259" s="76"/>
      <c r="B259" s="66"/>
      <c r="C259" s="69"/>
      <c r="D259" s="7" t="s">
        <v>22</v>
      </c>
      <c r="E259" s="6">
        <v>2</v>
      </c>
      <c r="F259" s="6">
        <v>3</v>
      </c>
      <c r="G259" s="49"/>
      <c r="H259" s="49">
        <f t="shared" si="53"/>
        <v>3</v>
      </c>
      <c r="I259" s="50">
        <v>2</v>
      </c>
      <c r="J259" s="5">
        <f t="shared" si="51"/>
        <v>0.66666666666666663</v>
      </c>
      <c r="K259" s="4"/>
    </row>
    <row r="260" spans="1:11" ht="24.95" customHeight="1" x14ac:dyDescent="0.3">
      <c r="A260" s="76"/>
      <c r="B260" s="66"/>
      <c r="C260" s="69"/>
      <c r="D260" s="7" t="s">
        <v>21</v>
      </c>
      <c r="E260" s="6">
        <v>1</v>
      </c>
      <c r="F260" s="6">
        <v>0</v>
      </c>
      <c r="G260" s="49"/>
      <c r="H260" s="49">
        <f t="shared" si="53"/>
        <v>0</v>
      </c>
      <c r="I260" s="50">
        <v>0</v>
      </c>
      <c r="J260" s="5">
        <v>0</v>
      </c>
      <c r="K260" s="4"/>
    </row>
    <row r="261" spans="1:11" ht="24.95" customHeight="1" x14ac:dyDescent="0.3">
      <c r="A261" s="76"/>
      <c r="B261" s="66"/>
      <c r="C261" s="69"/>
      <c r="D261" s="7" t="s">
        <v>20</v>
      </c>
      <c r="E261" s="6">
        <v>3</v>
      </c>
      <c r="F261" s="6">
        <v>15</v>
      </c>
      <c r="G261" s="49"/>
      <c r="H261" s="49">
        <f t="shared" si="53"/>
        <v>15</v>
      </c>
      <c r="I261" s="50">
        <v>11</v>
      </c>
      <c r="J261" s="5">
        <f t="shared" ref="J261:J280" si="54">I261/H261</f>
        <v>0.73333333333333328</v>
      </c>
      <c r="K261" s="4"/>
    </row>
    <row r="262" spans="1:11" ht="24.95" customHeight="1" x14ac:dyDescent="0.3">
      <c r="A262" s="76"/>
      <c r="B262" s="66"/>
      <c r="C262" s="70"/>
      <c r="D262" s="7" t="s">
        <v>6</v>
      </c>
      <c r="E262" s="6">
        <v>2</v>
      </c>
      <c r="F262" s="6">
        <v>7</v>
      </c>
      <c r="G262" s="49"/>
      <c r="H262" s="49">
        <f t="shared" si="53"/>
        <v>7</v>
      </c>
      <c r="I262" s="50">
        <v>7</v>
      </c>
      <c r="J262" s="5">
        <f t="shared" si="54"/>
        <v>1</v>
      </c>
      <c r="K262" s="4"/>
    </row>
    <row r="263" spans="1:11" ht="24.95" customHeight="1" x14ac:dyDescent="0.3">
      <c r="A263" s="76"/>
      <c r="B263" s="66"/>
      <c r="C263" s="8" t="s">
        <v>117</v>
      </c>
      <c r="D263" s="7" t="s">
        <v>0</v>
      </c>
      <c r="E263" s="6">
        <v>2</v>
      </c>
      <c r="F263" s="6">
        <v>1</v>
      </c>
      <c r="G263" s="49"/>
      <c r="H263" s="49">
        <f t="shared" si="53"/>
        <v>1</v>
      </c>
      <c r="I263" s="50">
        <v>0</v>
      </c>
      <c r="J263" s="5">
        <f t="shared" si="54"/>
        <v>0</v>
      </c>
      <c r="K263" s="4"/>
    </row>
    <row r="264" spans="1:11" ht="24.95" customHeight="1" x14ac:dyDescent="0.3">
      <c r="A264" s="76"/>
      <c r="B264" s="66"/>
      <c r="C264" s="12" t="s">
        <v>19</v>
      </c>
      <c r="D264" s="12" t="s">
        <v>18</v>
      </c>
      <c r="E264" s="12">
        <f t="shared" ref="E264:I264" si="55">SUM(E265:E276)</f>
        <v>17</v>
      </c>
      <c r="F264" s="12">
        <f t="shared" si="55"/>
        <v>77</v>
      </c>
      <c r="G264" s="55">
        <f t="shared" si="55"/>
        <v>0</v>
      </c>
      <c r="H264" s="55">
        <f t="shared" si="55"/>
        <v>77</v>
      </c>
      <c r="I264" s="55">
        <f t="shared" si="55"/>
        <v>65</v>
      </c>
      <c r="J264" s="13">
        <f t="shared" si="54"/>
        <v>0.8441558441558441</v>
      </c>
      <c r="K264" s="12"/>
    </row>
    <row r="265" spans="1:11" ht="24.95" customHeight="1" x14ac:dyDescent="0.3">
      <c r="A265" s="76"/>
      <c r="B265" s="66"/>
      <c r="C265" s="68" t="s">
        <v>118</v>
      </c>
      <c r="D265" s="7" t="s">
        <v>17</v>
      </c>
      <c r="E265" s="6">
        <v>1</v>
      </c>
      <c r="F265" s="6">
        <v>11</v>
      </c>
      <c r="G265" s="49"/>
      <c r="H265" s="49">
        <f t="shared" ref="H265:H276" si="56">F265-G265</f>
        <v>11</v>
      </c>
      <c r="I265" s="50">
        <v>7</v>
      </c>
      <c r="J265" s="5">
        <f t="shared" si="54"/>
        <v>0.63636363636363635</v>
      </c>
      <c r="K265" s="4"/>
    </row>
    <row r="266" spans="1:11" ht="24.95" customHeight="1" x14ac:dyDescent="0.3">
      <c r="A266" s="76"/>
      <c r="B266" s="66"/>
      <c r="C266" s="69"/>
      <c r="D266" s="7" t="s">
        <v>16</v>
      </c>
      <c r="E266" s="6">
        <v>2</v>
      </c>
      <c r="F266" s="6">
        <v>6</v>
      </c>
      <c r="G266" s="49"/>
      <c r="H266" s="49">
        <f t="shared" si="56"/>
        <v>6</v>
      </c>
      <c r="I266" s="50">
        <v>5</v>
      </c>
      <c r="J266" s="5">
        <f t="shared" si="54"/>
        <v>0.83333333333333337</v>
      </c>
      <c r="K266" s="4"/>
    </row>
    <row r="267" spans="1:11" ht="24.95" customHeight="1" x14ac:dyDescent="0.3">
      <c r="A267" s="76"/>
      <c r="B267" s="66"/>
      <c r="C267" s="69"/>
      <c r="D267" s="7" t="s">
        <v>15</v>
      </c>
      <c r="E267" s="6">
        <v>1</v>
      </c>
      <c r="F267" s="6">
        <v>5</v>
      </c>
      <c r="G267" s="49"/>
      <c r="H267" s="49">
        <f t="shared" si="56"/>
        <v>5</v>
      </c>
      <c r="I267" s="50">
        <v>5</v>
      </c>
      <c r="J267" s="5">
        <f t="shared" si="54"/>
        <v>1</v>
      </c>
      <c r="K267" s="4"/>
    </row>
    <row r="268" spans="1:11" ht="24.95" customHeight="1" x14ac:dyDescent="0.3">
      <c r="A268" s="76"/>
      <c r="B268" s="66"/>
      <c r="C268" s="69"/>
      <c r="D268" s="7" t="s">
        <v>14</v>
      </c>
      <c r="E268" s="6">
        <v>2</v>
      </c>
      <c r="F268" s="6">
        <v>14</v>
      </c>
      <c r="G268" s="49"/>
      <c r="H268" s="49">
        <f t="shared" si="56"/>
        <v>14</v>
      </c>
      <c r="I268" s="50">
        <v>13</v>
      </c>
      <c r="J268" s="5">
        <f t="shared" si="54"/>
        <v>0.9285714285714286</v>
      </c>
      <c r="K268" s="4"/>
    </row>
    <row r="269" spans="1:11" ht="24.95" customHeight="1" x14ac:dyDescent="0.3">
      <c r="A269" s="76"/>
      <c r="B269" s="66"/>
      <c r="C269" s="69"/>
      <c r="D269" s="7" t="s">
        <v>13</v>
      </c>
      <c r="E269" s="6">
        <v>1</v>
      </c>
      <c r="F269" s="6">
        <v>4</v>
      </c>
      <c r="G269" s="49"/>
      <c r="H269" s="49">
        <f t="shared" si="56"/>
        <v>4</v>
      </c>
      <c r="I269" s="50">
        <v>4</v>
      </c>
      <c r="J269" s="5">
        <f t="shared" si="54"/>
        <v>1</v>
      </c>
      <c r="K269" s="4"/>
    </row>
    <row r="270" spans="1:11" ht="24.95" customHeight="1" x14ac:dyDescent="0.3">
      <c r="A270" s="76"/>
      <c r="B270" s="66"/>
      <c r="C270" s="69"/>
      <c r="D270" s="7" t="s">
        <v>12</v>
      </c>
      <c r="E270" s="6">
        <v>2</v>
      </c>
      <c r="F270" s="6">
        <v>5</v>
      </c>
      <c r="G270" s="49"/>
      <c r="H270" s="49">
        <f t="shared" si="56"/>
        <v>5</v>
      </c>
      <c r="I270" s="50">
        <v>5</v>
      </c>
      <c r="J270" s="5">
        <f t="shared" si="54"/>
        <v>1</v>
      </c>
      <c r="K270" s="4"/>
    </row>
    <row r="271" spans="1:11" ht="24.95" customHeight="1" x14ac:dyDescent="0.3">
      <c r="A271" s="76"/>
      <c r="B271" s="66"/>
      <c r="C271" s="69"/>
      <c r="D271" s="7" t="s">
        <v>11</v>
      </c>
      <c r="E271" s="6">
        <v>1</v>
      </c>
      <c r="F271" s="6">
        <v>2</v>
      </c>
      <c r="G271" s="49"/>
      <c r="H271" s="49">
        <f t="shared" si="56"/>
        <v>2</v>
      </c>
      <c r="I271" s="50">
        <v>2</v>
      </c>
      <c r="J271" s="5">
        <f t="shared" si="54"/>
        <v>1</v>
      </c>
      <c r="K271" s="4"/>
    </row>
    <row r="272" spans="1:11" ht="24.95" customHeight="1" x14ac:dyDescent="0.3">
      <c r="A272" s="76"/>
      <c r="B272" s="66"/>
      <c r="C272" s="69"/>
      <c r="D272" s="7" t="s">
        <v>10</v>
      </c>
      <c r="E272" s="6">
        <v>1</v>
      </c>
      <c r="F272" s="6">
        <v>3</v>
      </c>
      <c r="G272" s="49"/>
      <c r="H272" s="49">
        <f t="shared" si="56"/>
        <v>3</v>
      </c>
      <c r="I272" s="50">
        <v>3</v>
      </c>
      <c r="J272" s="5">
        <f t="shared" si="54"/>
        <v>1</v>
      </c>
      <c r="K272" s="4"/>
    </row>
    <row r="273" spans="1:11" ht="24.95" customHeight="1" x14ac:dyDescent="0.3">
      <c r="A273" s="76"/>
      <c r="B273" s="66"/>
      <c r="C273" s="69"/>
      <c r="D273" s="7" t="s">
        <v>9</v>
      </c>
      <c r="E273" s="6">
        <v>2</v>
      </c>
      <c r="F273" s="6">
        <v>15</v>
      </c>
      <c r="G273" s="49"/>
      <c r="H273" s="49">
        <f t="shared" si="56"/>
        <v>15</v>
      </c>
      <c r="I273" s="50">
        <v>12</v>
      </c>
      <c r="J273" s="5">
        <f t="shared" si="54"/>
        <v>0.8</v>
      </c>
      <c r="K273" s="4"/>
    </row>
    <row r="274" spans="1:11" ht="24.95" customHeight="1" x14ac:dyDescent="0.3">
      <c r="A274" s="76"/>
      <c r="B274" s="66"/>
      <c r="C274" s="69"/>
      <c r="D274" s="7" t="s">
        <v>8</v>
      </c>
      <c r="E274" s="6">
        <v>1</v>
      </c>
      <c r="F274" s="6">
        <v>1</v>
      </c>
      <c r="G274" s="49"/>
      <c r="H274" s="49">
        <f t="shared" si="56"/>
        <v>1</v>
      </c>
      <c r="I274" s="50">
        <v>1</v>
      </c>
      <c r="J274" s="5">
        <f t="shared" si="54"/>
        <v>1</v>
      </c>
      <c r="K274" s="4"/>
    </row>
    <row r="275" spans="1:11" ht="24.95" customHeight="1" x14ac:dyDescent="0.3">
      <c r="A275" s="76"/>
      <c r="B275" s="66"/>
      <c r="C275" s="69"/>
      <c r="D275" s="7" t="s">
        <v>7</v>
      </c>
      <c r="E275" s="6">
        <v>1</v>
      </c>
      <c r="F275" s="6">
        <v>3</v>
      </c>
      <c r="G275" s="49"/>
      <c r="H275" s="49">
        <f t="shared" si="56"/>
        <v>3</v>
      </c>
      <c r="I275" s="50">
        <v>2</v>
      </c>
      <c r="J275" s="5">
        <f t="shared" si="54"/>
        <v>0.66666666666666663</v>
      </c>
      <c r="K275" s="4"/>
    </row>
    <row r="276" spans="1:11" ht="24.95" customHeight="1" x14ac:dyDescent="0.3">
      <c r="A276" s="76"/>
      <c r="B276" s="67"/>
      <c r="C276" s="70"/>
      <c r="D276" s="7" t="s">
        <v>6</v>
      </c>
      <c r="E276" s="6">
        <v>2</v>
      </c>
      <c r="F276" s="6">
        <v>8</v>
      </c>
      <c r="G276" s="49"/>
      <c r="H276" s="49">
        <f t="shared" si="56"/>
        <v>8</v>
      </c>
      <c r="I276" s="50">
        <v>6</v>
      </c>
      <c r="J276" s="5">
        <f t="shared" si="54"/>
        <v>0.75</v>
      </c>
      <c r="K276" s="4"/>
    </row>
    <row r="277" spans="1:11" ht="24.95" customHeight="1" x14ac:dyDescent="0.3">
      <c r="A277" s="76"/>
      <c r="B277" s="27" t="s">
        <v>5</v>
      </c>
      <c r="C277" s="27" t="s">
        <v>2</v>
      </c>
      <c r="D277" s="11"/>
      <c r="E277" s="9">
        <f t="shared" ref="E277:I277" si="57">SUM(E278)</f>
        <v>23</v>
      </c>
      <c r="F277" s="9">
        <f t="shared" si="57"/>
        <v>49</v>
      </c>
      <c r="G277" s="59">
        <f t="shared" si="57"/>
        <v>1</v>
      </c>
      <c r="H277" s="59">
        <f t="shared" si="57"/>
        <v>48</v>
      </c>
      <c r="I277" s="59">
        <f t="shared" si="57"/>
        <v>38</v>
      </c>
      <c r="J277" s="10">
        <f t="shared" si="54"/>
        <v>0.79166666666666663</v>
      </c>
      <c r="K277" s="9"/>
    </row>
    <row r="278" spans="1:11" ht="24.95" customHeight="1" x14ac:dyDescent="0.3">
      <c r="A278" s="76"/>
      <c r="B278" s="8" t="s">
        <v>4</v>
      </c>
      <c r="C278" s="8" t="s">
        <v>119</v>
      </c>
      <c r="D278" s="7" t="s">
        <v>0</v>
      </c>
      <c r="E278" s="6">
        <v>23</v>
      </c>
      <c r="F278" s="6">
        <v>49</v>
      </c>
      <c r="G278" s="49">
        <v>1</v>
      </c>
      <c r="H278" s="49">
        <f>F278-G278</f>
        <v>48</v>
      </c>
      <c r="I278" s="50">
        <v>38</v>
      </c>
      <c r="J278" s="5">
        <f t="shared" si="54"/>
        <v>0.79166666666666663</v>
      </c>
      <c r="K278" s="4"/>
    </row>
    <row r="279" spans="1:11" ht="24.95" customHeight="1" x14ac:dyDescent="0.3">
      <c r="A279" s="76"/>
      <c r="B279" s="27" t="s">
        <v>3</v>
      </c>
      <c r="C279" s="27" t="s">
        <v>2</v>
      </c>
      <c r="D279" s="11"/>
      <c r="E279" s="9">
        <f t="shared" ref="E279:I279" si="58">SUM(E280)</f>
        <v>24</v>
      </c>
      <c r="F279" s="9">
        <f t="shared" si="58"/>
        <v>89</v>
      </c>
      <c r="G279" s="59">
        <f t="shared" si="58"/>
        <v>0</v>
      </c>
      <c r="H279" s="59">
        <f t="shared" si="58"/>
        <v>89</v>
      </c>
      <c r="I279" s="59">
        <f t="shared" si="58"/>
        <v>69</v>
      </c>
      <c r="J279" s="10">
        <f t="shared" si="54"/>
        <v>0.7752808988764045</v>
      </c>
      <c r="K279" s="9"/>
    </row>
    <row r="280" spans="1:11" ht="24.95" customHeight="1" x14ac:dyDescent="0.3">
      <c r="A280" s="77"/>
      <c r="B280" s="8" t="s">
        <v>1</v>
      </c>
      <c r="C280" s="8" t="s">
        <v>120</v>
      </c>
      <c r="D280" s="7" t="s">
        <v>0</v>
      </c>
      <c r="E280" s="6">
        <v>24</v>
      </c>
      <c r="F280" s="6">
        <v>89</v>
      </c>
      <c r="G280" s="49"/>
      <c r="H280" s="49">
        <f>F280-G280</f>
        <v>89</v>
      </c>
      <c r="I280" s="50">
        <v>69</v>
      </c>
      <c r="J280" s="5">
        <f t="shared" si="54"/>
        <v>0.7752808988764045</v>
      </c>
      <c r="K280" s="4"/>
    </row>
  </sheetData>
  <sheetProtection password="C64B" sheet="1" objects="1" scenarios="1"/>
  <mergeCells count="37">
    <mergeCell ref="C160:C166"/>
    <mergeCell ref="C169:C178"/>
    <mergeCell ref="C183:C187"/>
    <mergeCell ref="C189:C195"/>
    <mergeCell ref="A1:K1"/>
    <mergeCell ref="C82:C99"/>
    <mergeCell ref="A5:A31"/>
    <mergeCell ref="B6:B19"/>
    <mergeCell ref="B20:B31"/>
    <mergeCell ref="B33:B67"/>
    <mergeCell ref="B68:B80"/>
    <mergeCell ref="B81:B101"/>
    <mergeCell ref="A32:A280"/>
    <mergeCell ref="C7:C18"/>
    <mergeCell ref="C21:C31"/>
    <mergeCell ref="C34:C65"/>
    <mergeCell ref="C69:C79"/>
    <mergeCell ref="C106:C116"/>
    <mergeCell ref="C120:C129"/>
    <mergeCell ref="C133:C138"/>
    <mergeCell ref="C141:C157"/>
    <mergeCell ref="B197:B202"/>
    <mergeCell ref="B203:B216"/>
    <mergeCell ref="B217:B276"/>
    <mergeCell ref="B102:B104"/>
    <mergeCell ref="C265:C276"/>
    <mergeCell ref="B105:B117"/>
    <mergeCell ref="B118:B138"/>
    <mergeCell ref="B139:B166"/>
    <mergeCell ref="B167:B181"/>
    <mergeCell ref="B182:B187"/>
    <mergeCell ref="B188:B196"/>
    <mergeCell ref="C198:C202"/>
    <mergeCell ref="C204:C216"/>
    <mergeCell ref="C219:C222"/>
    <mergeCell ref="C224:C242"/>
    <mergeCell ref="C247:C262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응시현황</vt:lpstr>
      <vt:lpstr>응시현황!Print_Area</vt:lpstr>
      <vt:lpstr>응시현황!Print_Titles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SJ22-09</dc:creator>
  <cp:lastModifiedBy>SJ22-09</cp:lastModifiedBy>
  <cp:lastPrinted>2025-06-23T00:01:10Z</cp:lastPrinted>
  <dcterms:created xsi:type="dcterms:W3CDTF">2025-06-21T04:10:28Z</dcterms:created>
  <dcterms:modified xsi:type="dcterms:W3CDTF">2025-06-23T08:49:04Z</dcterms:modified>
</cp:coreProperties>
</file>