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570" windowHeight="9930"/>
  </bookViews>
  <sheets>
    <sheet name="응시현황" sheetId="6" r:id="rId1"/>
    <sheet name="원본데이터" sheetId="2" r:id="rId2"/>
  </sheets>
  <definedNames>
    <definedName name="_xlnm._FilterDatabase" localSheetId="1" hidden="1">원본데이터!$A$3:$I$46</definedName>
    <definedName name="_xlnm.Print_Area" localSheetId="1">원본데이터!$A$1:$G$46</definedName>
  </definedNames>
  <calcPr calcId="191029"/>
</workbook>
</file>

<file path=xl/calcChain.xml><?xml version="1.0" encoding="utf-8"?>
<calcChain xmlns="http://schemas.openxmlformats.org/spreadsheetml/2006/main">
  <c r="I12" i="6"/>
  <c r="I13"/>
  <c r="I14"/>
  <c r="I15"/>
  <c r="I16"/>
  <c r="I17"/>
  <c r="I18"/>
  <c r="I19"/>
  <c r="I20"/>
  <c r="I21"/>
  <c r="I22"/>
  <c r="I23"/>
  <c r="I24"/>
  <c r="F20" l="1"/>
  <c r="E20"/>
  <c r="F14"/>
  <c r="F12"/>
  <c r="E12"/>
  <c r="E14" l="1"/>
  <c r="D47" i="2"/>
  <c r="F33"/>
  <c r="G33"/>
  <c r="G42" l="1"/>
  <c r="F42"/>
  <c r="G31"/>
  <c r="F31"/>
  <c r="G41"/>
  <c r="F41"/>
  <c r="G40"/>
  <c r="F40"/>
  <c r="G39"/>
  <c r="F39"/>
  <c r="G38"/>
  <c r="F38"/>
  <c r="G37"/>
  <c r="F37"/>
  <c r="G36"/>
  <c r="F36"/>
  <c r="G35"/>
  <c r="F35"/>
  <c r="G28"/>
  <c r="F28"/>
  <c r="F21" i="6" l="1"/>
  <c r="E21"/>
  <c r="F19"/>
  <c r="E19"/>
  <c r="D23"/>
  <c r="F17"/>
  <c r="E17"/>
  <c r="F16"/>
  <c r="E16"/>
  <c r="F13"/>
  <c r="E13"/>
  <c r="E23" l="1"/>
  <c r="H21"/>
  <c r="G20"/>
  <c r="H17"/>
  <c r="H16"/>
  <c r="F34" i="2"/>
  <c r="G34"/>
  <c r="F43"/>
  <c r="G43"/>
  <c r="F44"/>
  <c r="G44"/>
  <c r="F45"/>
  <c r="G45"/>
  <c r="F46"/>
  <c r="G46"/>
  <c r="F8"/>
  <c r="G8"/>
  <c r="F14"/>
  <c r="G14"/>
  <c r="H12" i="6" l="1"/>
  <c r="F23"/>
  <c r="F15"/>
  <c r="H20"/>
  <c r="G21"/>
  <c r="G17"/>
  <c r="F4" i="2"/>
  <c r="G4"/>
  <c r="F5"/>
  <c r="G5"/>
  <c r="F6"/>
  <c r="G6"/>
  <c r="F7"/>
  <c r="G7"/>
  <c r="F9"/>
  <c r="G9"/>
  <c r="F10"/>
  <c r="G10"/>
  <c r="F11"/>
  <c r="G11"/>
  <c r="F12"/>
  <c r="G12"/>
  <c r="F13"/>
  <c r="G13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9"/>
  <c r="G29"/>
  <c r="F30"/>
  <c r="G30"/>
  <c r="F32"/>
  <c r="G32"/>
  <c r="H23" i="6" l="1"/>
  <c r="G12"/>
  <c r="G16" l="1"/>
  <c r="G19"/>
  <c r="G23" s="1"/>
  <c r="G14"/>
  <c r="G13"/>
  <c r="H19" l="1"/>
  <c r="H14"/>
  <c r="H13"/>
  <c r="G15"/>
  <c r="G18" s="1"/>
  <c r="E15"/>
  <c r="E18" s="1"/>
  <c r="D15"/>
  <c r="D18" s="1"/>
  <c r="H15" l="1"/>
  <c r="F18"/>
  <c r="F24" s="1"/>
  <c r="G24"/>
  <c r="D24"/>
  <c r="H18" l="1"/>
  <c r="E24"/>
  <c r="H24" l="1"/>
</calcChain>
</file>

<file path=xl/sharedStrings.xml><?xml version="1.0" encoding="utf-8"?>
<sst xmlns="http://schemas.openxmlformats.org/spreadsheetml/2006/main" count="124" uniqueCount="44">
  <si>
    <t>시험명</t>
    <phoneticPr fontId="1" type="noConversion"/>
  </si>
  <si>
    <t>직렬(직류)</t>
    <phoneticPr fontId="1" type="noConversion"/>
  </si>
  <si>
    <t>선발구분</t>
    <phoneticPr fontId="1" type="noConversion"/>
  </si>
  <si>
    <t>선발인원</t>
    <phoneticPr fontId="1" type="noConversion"/>
  </si>
  <si>
    <t>일반</t>
    <phoneticPr fontId="1" type="noConversion"/>
  </si>
  <si>
    <t>장애인</t>
    <phoneticPr fontId="1" type="noConversion"/>
  </si>
  <si>
    <t>저소득층</t>
    <phoneticPr fontId="1" type="noConversion"/>
  </si>
  <si>
    <t>소계</t>
    <phoneticPr fontId="1" type="noConversion"/>
  </si>
  <si>
    <t>교육행정</t>
    <phoneticPr fontId="1" type="noConversion"/>
  </si>
  <si>
    <t>소계(공개경쟁임용시험)</t>
    <phoneticPr fontId="1" type="noConversion"/>
  </si>
  <si>
    <t>공개
경쟁
임용
시험</t>
    <phoneticPr fontId="1" type="noConversion"/>
  </si>
  <si>
    <t>소계(경력경쟁임용시험)</t>
    <phoneticPr fontId="1" type="noConversion"/>
  </si>
  <si>
    <t>경력
경쟁
임용
시험</t>
    <phoneticPr fontId="1" type="noConversion"/>
  </si>
  <si>
    <t>지원자수</t>
    <phoneticPr fontId="1" type="noConversion"/>
  </si>
  <si>
    <t>응시자수</t>
    <phoneticPr fontId="1" type="noConversion"/>
  </si>
  <si>
    <t>결시자수</t>
    <phoneticPr fontId="1" type="noConversion"/>
  </si>
  <si>
    <t>응시율</t>
    <phoneticPr fontId="1" type="noConversion"/>
  </si>
  <si>
    <t xml:space="preserve"> 총    계</t>
    <phoneticPr fontId="1" type="noConversion"/>
  </si>
  <si>
    <t>실별</t>
    <phoneticPr fontId="1" type="noConversion"/>
  </si>
  <si>
    <t>직렬</t>
    <phoneticPr fontId="1" type="noConversion"/>
  </si>
  <si>
    <t>전    산</t>
    <phoneticPr fontId="1" type="noConversion"/>
  </si>
  <si>
    <t>시험장</t>
    <phoneticPr fontId="1" type="noConversion"/>
  </si>
  <si>
    <t>접수
인원</t>
    <phoneticPr fontId="1" type="noConversion"/>
  </si>
  <si>
    <t>응시자</t>
    <phoneticPr fontId="1" type="noConversion"/>
  </si>
  <si>
    <t>결시자</t>
    <phoneticPr fontId="1" type="noConversion"/>
  </si>
  <si>
    <t>삼천중</t>
    <phoneticPr fontId="1" type="noConversion"/>
  </si>
  <si>
    <t>교육행정(장애인)</t>
    <phoneticPr fontId="1" type="noConversion"/>
  </si>
  <si>
    <t>필  기  시  험     응  시  현  황</t>
    <phoneticPr fontId="1" type="noConversion"/>
  </si>
  <si>
    <t>※ 응시자 숫자(노란셀)만 입력</t>
    <phoneticPr fontId="1" type="noConversion"/>
  </si>
  <si>
    <t>시설관리(일반)</t>
    <phoneticPr fontId="1" type="noConversion"/>
  </si>
  <si>
    <t>시설관리(국가유공자)</t>
    <phoneticPr fontId="1" type="noConversion"/>
  </si>
  <si>
    <t>삼천중</t>
    <phoneticPr fontId="1" type="noConversion"/>
  </si>
  <si>
    <t>교육행정(저소득층)</t>
    <phoneticPr fontId="1" type="noConversion"/>
  </si>
  <si>
    <t>전산</t>
    <phoneticPr fontId="1" type="noConversion"/>
  </si>
  <si>
    <t>운전</t>
    <phoneticPr fontId="1" type="noConversion"/>
  </si>
  <si>
    <t>사서</t>
    <phoneticPr fontId="1" type="noConversion"/>
  </si>
  <si>
    <t>사    서</t>
    <phoneticPr fontId="1" type="noConversion"/>
  </si>
  <si>
    <t>운전(일반)</t>
    <phoneticPr fontId="1" type="noConversion"/>
  </si>
  <si>
    <t>운전(국가유공자)</t>
    <phoneticPr fontId="1" type="noConversion"/>
  </si>
  <si>
    <t>2023년도 지방공무원 임용 필기시험 실별 응시현황</t>
    <phoneticPr fontId="1" type="noConversion"/>
  </si>
  <si>
    <t>2023.6.10.(토)</t>
    <phoneticPr fontId="1" type="noConversion"/>
  </si>
  <si>
    <t xml:space="preserve">  2023년도 대전광역시교육청 지방공무원 공개(경력)경쟁임용</t>
    <phoneticPr fontId="1" type="noConversion"/>
  </si>
  <si>
    <t>▣ 시험일: 2023. 6. 10.(토)</t>
    <phoneticPr fontId="1" type="noConversion"/>
  </si>
  <si>
    <t>응시율대비
경쟁률</t>
    <phoneticPr fontId="1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</si>
</sst>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20"/>
      <color theme="1"/>
      <name val="HY견고딕"/>
      <family val="1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6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40"/>
      <color theme="1"/>
      <name val="HY견고딕"/>
      <family val="1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sz val="11"/>
      <color rgb="FF6600CC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6600CC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0" borderId="0"/>
  </cellStyleXfs>
  <cellXfs count="13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41" fontId="5" fillId="0" borderId="24" xfId="1" applyFont="1" applyBorder="1">
      <alignment vertical="center"/>
    </xf>
    <xf numFmtId="41" fontId="5" fillId="0" borderId="12" xfId="1" applyFont="1" applyBorder="1">
      <alignment vertical="center"/>
    </xf>
    <xf numFmtId="41" fontId="5" fillId="0" borderId="26" xfId="1" applyFont="1" applyBorder="1">
      <alignment vertical="center"/>
    </xf>
    <xf numFmtId="41" fontId="5" fillId="0" borderId="13" xfId="1" applyFont="1" applyBorder="1">
      <alignment vertical="center"/>
    </xf>
    <xf numFmtId="41" fontId="5" fillId="0" borderId="2" xfId="1" applyFont="1" applyBorder="1">
      <alignment vertical="center"/>
    </xf>
    <xf numFmtId="41" fontId="5" fillId="0" borderId="1" xfId="1" applyFont="1" applyBorder="1">
      <alignment vertical="center"/>
    </xf>
    <xf numFmtId="0" fontId="5" fillId="0" borderId="30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/>
    </xf>
    <xf numFmtId="0" fontId="0" fillId="3" borderId="46" xfId="0" applyFill="1" applyBorder="1" applyAlignment="1" applyProtection="1">
      <alignment horizontal="center" vertical="center"/>
      <protection locked="0"/>
    </xf>
    <xf numFmtId="0" fontId="15" fillId="0" borderId="0" xfId="0" applyFont="1">
      <alignment vertical="center"/>
    </xf>
    <xf numFmtId="41" fontId="5" fillId="0" borderId="4" xfId="1" applyFont="1" applyBorder="1">
      <alignment vertical="center"/>
    </xf>
    <xf numFmtId="0" fontId="16" fillId="0" borderId="46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0" borderId="4" xfId="0" applyFont="1" applyFill="1" applyBorder="1" applyAlignment="1" applyProtection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horizontal="center" vertical="center"/>
    </xf>
    <xf numFmtId="0" fontId="18" fillId="3" borderId="45" xfId="0" applyFont="1" applyFill="1" applyBorder="1" applyAlignment="1" applyProtection="1">
      <alignment horizontal="center" vertical="center"/>
      <protection locked="0"/>
    </xf>
    <xf numFmtId="0" fontId="18" fillId="0" borderId="4" xfId="0" applyFont="1" applyFill="1" applyBorder="1" applyAlignment="1" applyProtection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46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3" borderId="46" xfId="0" applyFont="1" applyFill="1" applyBorder="1" applyAlignment="1" applyProtection="1">
      <alignment horizontal="center" vertical="center"/>
      <protection locked="0"/>
    </xf>
    <xf numFmtId="0" fontId="19" fillId="0" borderId="4" xfId="0" applyFont="1" applyFill="1" applyBorder="1" applyAlignment="1" applyProtection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3" borderId="46" xfId="0" applyFont="1" applyFill="1" applyBorder="1" applyAlignment="1" applyProtection="1">
      <alignment horizontal="center" vertical="center"/>
      <protection locked="0"/>
    </xf>
    <xf numFmtId="0" fontId="20" fillId="0" borderId="4" xfId="0" applyFont="1" applyFill="1" applyBorder="1" applyAlignment="1" applyProtection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/>
    </xf>
    <xf numFmtId="0" fontId="12" fillId="2" borderId="51" xfId="0" applyFont="1" applyFill="1" applyBorder="1" applyAlignment="1">
      <alignment horizontal="center" vertical="center"/>
    </xf>
    <xf numFmtId="41" fontId="8" fillId="4" borderId="4" xfId="1" applyFont="1" applyFill="1" applyBorder="1">
      <alignment vertical="center"/>
    </xf>
    <xf numFmtId="0" fontId="8" fillId="4" borderId="1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41" fontId="8" fillId="5" borderId="17" xfId="1" applyFont="1" applyFill="1" applyBorder="1">
      <alignment vertical="center"/>
    </xf>
    <xf numFmtId="0" fontId="8" fillId="5" borderId="33" xfId="0" applyFont="1" applyFill="1" applyBorder="1" applyAlignment="1">
      <alignment horizontal="right" vertical="center"/>
    </xf>
    <xf numFmtId="0" fontId="8" fillId="5" borderId="32" xfId="0" applyFont="1" applyFill="1" applyBorder="1" applyAlignment="1">
      <alignment horizontal="right" vertical="center"/>
    </xf>
    <xf numFmtId="0" fontId="4" fillId="4" borderId="27" xfId="0" applyFont="1" applyFill="1" applyBorder="1" applyAlignment="1">
      <alignment horizontal="center" vertical="center"/>
    </xf>
    <xf numFmtId="41" fontId="8" fillId="4" borderId="28" xfId="1" applyFont="1" applyFill="1" applyBorder="1">
      <alignment vertical="center"/>
    </xf>
    <xf numFmtId="41" fontId="8" fillId="4" borderId="15" xfId="1" applyFont="1" applyFill="1" applyBorder="1">
      <alignment vertical="center"/>
    </xf>
    <xf numFmtId="0" fontId="8" fillId="4" borderId="31" xfId="0" applyFont="1" applyFill="1" applyBorder="1" applyAlignment="1">
      <alignment horizontal="righ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2" fillId="6" borderId="10" xfId="0" applyFont="1" applyFill="1" applyBorder="1">
      <alignment vertical="center"/>
    </xf>
    <xf numFmtId="0" fontId="2" fillId="6" borderId="9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6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4" xfId="0" applyFont="1" applyFill="1" applyBorder="1" applyAlignment="1" applyProtection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2" fillId="3" borderId="46" xfId="0" applyFont="1" applyFill="1" applyBorder="1" applyAlignment="1" applyProtection="1">
      <alignment horizontal="center" vertical="center"/>
      <protection locked="0"/>
    </xf>
    <xf numFmtId="0" fontId="22" fillId="0" borderId="4" xfId="0" applyFont="1" applyFill="1" applyBorder="1" applyAlignment="1" applyProtection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41" fontId="13" fillId="0" borderId="1" xfId="1" applyFont="1" applyBorder="1">
      <alignment vertical="center"/>
    </xf>
    <xf numFmtId="10" fontId="5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3" borderId="46" xfId="0" applyFont="1" applyFill="1" applyBorder="1" applyAlignment="1" applyProtection="1">
      <alignment horizontal="center" vertical="center"/>
      <protection locked="0"/>
    </xf>
    <xf numFmtId="0" fontId="20" fillId="0" borderId="46" xfId="0" applyFont="1" applyFill="1" applyBorder="1" applyAlignment="1">
      <alignment horizontal="center" vertical="center"/>
    </xf>
    <xf numFmtId="0" fontId="18" fillId="0" borderId="45" xfId="0" applyFont="1" applyFill="1" applyBorder="1" applyAlignment="1">
      <alignment horizontal="center" vertical="center"/>
    </xf>
    <xf numFmtId="0" fontId="24" fillId="0" borderId="46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>
      <alignment horizontal="center" vertical="center"/>
    </xf>
    <xf numFmtId="0" fontId="18" fillId="0" borderId="47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49" xfId="0" applyFont="1" applyFill="1" applyBorder="1" applyAlignment="1">
      <alignment horizontal="center" vertical="center"/>
    </xf>
    <xf numFmtId="0" fontId="18" fillId="3" borderId="47" xfId="0" applyFont="1" applyFill="1" applyBorder="1" applyAlignment="1" applyProtection="1">
      <alignment horizontal="center" vertical="center"/>
      <protection locked="0"/>
    </xf>
    <xf numFmtId="0" fontId="18" fillId="0" borderId="44" xfId="0" applyFont="1" applyFill="1" applyBorder="1" applyAlignment="1" applyProtection="1">
      <alignment horizontal="center" vertical="center"/>
    </xf>
    <xf numFmtId="0" fontId="18" fillId="0" borderId="48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38" xfId="0" applyBorder="1" applyAlignment="1">
      <alignment horizontal="right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colors>
    <mruColors>
      <color rgb="FF0000FF"/>
      <color rgb="FF6600CC"/>
      <color rgb="FF00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selection activeCell="A2" sqref="A2"/>
    </sheetView>
  </sheetViews>
  <sheetFormatPr defaultColWidth="9" defaultRowHeight="20.25"/>
  <cols>
    <col min="1" max="1" width="10.375" style="1" customWidth="1"/>
    <col min="2" max="2" width="13.625" style="1" customWidth="1"/>
    <col min="3" max="3" width="14" style="1" customWidth="1"/>
    <col min="4" max="4" width="15.125" style="1" customWidth="1"/>
    <col min="5" max="5" width="15.25" style="1" customWidth="1"/>
    <col min="6" max="6" width="14.5" style="1" customWidth="1"/>
    <col min="7" max="7" width="13.625" style="1" customWidth="1"/>
    <col min="8" max="8" width="13.25" style="1" customWidth="1"/>
    <col min="9" max="9" width="14.875" style="1" customWidth="1"/>
    <col min="10" max="16384" width="9" style="1"/>
  </cols>
  <sheetData>
    <row r="1" spans="1:9" ht="26.25" customHeight="1"/>
    <row r="2" spans="1:9" ht="26.25" customHeight="1" thickBot="1">
      <c r="A2" s="2"/>
      <c r="B2" s="2"/>
      <c r="C2" s="2"/>
      <c r="D2" s="2"/>
      <c r="E2" s="2"/>
      <c r="F2" s="2"/>
      <c r="G2" s="2"/>
      <c r="H2" s="2"/>
      <c r="I2" s="2"/>
    </row>
    <row r="3" spans="1:9" ht="6" customHeight="1" thickTop="1">
      <c r="A3" s="76"/>
      <c r="B3" s="76"/>
      <c r="C3" s="76"/>
      <c r="D3" s="76"/>
      <c r="E3" s="76"/>
      <c r="F3" s="76"/>
      <c r="G3" s="76"/>
      <c r="H3" s="76"/>
      <c r="I3" s="76"/>
    </row>
    <row r="4" spans="1:9" ht="29.25" customHeight="1">
      <c r="A4" s="118" t="s">
        <v>41</v>
      </c>
      <c r="B4" s="118"/>
      <c r="C4" s="118"/>
      <c r="D4" s="118"/>
      <c r="E4" s="118"/>
      <c r="F4" s="118"/>
      <c r="G4" s="118"/>
      <c r="H4" s="118"/>
      <c r="I4" s="118"/>
    </row>
    <row r="5" spans="1:9" ht="52.5" customHeight="1">
      <c r="A5" s="119" t="s">
        <v>27</v>
      </c>
      <c r="B5" s="119"/>
      <c r="C5" s="119"/>
      <c r="D5" s="119"/>
      <c r="E5" s="119"/>
      <c r="F5" s="119"/>
      <c r="G5" s="119"/>
      <c r="H5" s="119"/>
      <c r="I5" s="119"/>
    </row>
    <row r="6" spans="1:9" ht="6" customHeight="1" thickBot="1">
      <c r="A6" s="77"/>
      <c r="B6" s="77"/>
      <c r="C6" s="77"/>
      <c r="D6" s="77"/>
      <c r="E6" s="77"/>
      <c r="F6" s="77"/>
      <c r="G6" s="77"/>
      <c r="H6" s="77"/>
      <c r="I6" s="77"/>
    </row>
    <row r="7" spans="1:9" ht="45" customHeight="1" thickTop="1"/>
    <row r="8" spans="1:9" ht="45" customHeight="1"/>
    <row r="9" spans="1:9" ht="26.25">
      <c r="A9" s="124" t="s">
        <v>42</v>
      </c>
      <c r="B9" s="124"/>
      <c r="C9" s="124"/>
      <c r="D9" s="124"/>
      <c r="E9" s="124"/>
      <c r="F9" s="124"/>
      <c r="G9" s="124"/>
      <c r="H9" s="124"/>
      <c r="I9" s="124"/>
    </row>
    <row r="10" spans="1:9" ht="15" customHeight="1" thickBot="1"/>
    <row r="11" spans="1:9" ht="57.75" customHeight="1" thickTop="1" thickBot="1">
      <c r="A11" s="71" t="s">
        <v>0</v>
      </c>
      <c r="B11" s="72" t="s">
        <v>1</v>
      </c>
      <c r="C11" s="73" t="s">
        <v>2</v>
      </c>
      <c r="D11" s="71" t="s">
        <v>3</v>
      </c>
      <c r="E11" s="72" t="s">
        <v>13</v>
      </c>
      <c r="F11" s="74" t="s">
        <v>14</v>
      </c>
      <c r="G11" s="72" t="s">
        <v>15</v>
      </c>
      <c r="H11" s="75" t="s">
        <v>16</v>
      </c>
      <c r="I11" s="110" t="s">
        <v>43</v>
      </c>
    </row>
    <row r="12" spans="1:9" ht="54" customHeight="1" thickTop="1">
      <c r="A12" s="120" t="s">
        <v>10</v>
      </c>
      <c r="B12" s="122" t="s">
        <v>8</v>
      </c>
      <c r="C12" s="3" t="s">
        <v>4</v>
      </c>
      <c r="D12" s="7">
        <v>30</v>
      </c>
      <c r="E12" s="8">
        <f>SUM(원본데이터!D6:D28,원본데이터!D35:D42)</f>
        <v>771</v>
      </c>
      <c r="F12" s="10">
        <f>SUM(원본데이터!E6:E28,원본데이터!E35:E42)</f>
        <v>587</v>
      </c>
      <c r="G12" s="8">
        <f>E12-F12</f>
        <v>184</v>
      </c>
      <c r="H12" s="13" t="str">
        <f>TEXT(ROUNDDOWN(F12/E12*100,3),"#0.00")&amp;"%"</f>
        <v>76.13%</v>
      </c>
      <c r="I12" s="13" t="str">
        <f>TEXT(ROUNDDOWN(F12/D12,3),"#0.00")&amp;":1"</f>
        <v>19.57:1</v>
      </c>
    </row>
    <row r="13" spans="1:9" ht="54" customHeight="1">
      <c r="A13" s="121"/>
      <c r="B13" s="123"/>
      <c r="C13" s="4" t="s">
        <v>5</v>
      </c>
      <c r="D13" s="9">
        <v>3</v>
      </c>
      <c r="E13" s="10">
        <f>SUM(원본데이터!D4)</f>
        <v>11</v>
      </c>
      <c r="F13" s="10">
        <f>SUM(원본데이터!E4)</f>
        <v>7</v>
      </c>
      <c r="G13" s="10">
        <f>E13-F13</f>
        <v>4</v>
      </c>
      <c r="H13" s="14" t="str">
        <f t="shared" ref="H13:H24" si="0">TEXT(ROUNDDOWN(F13/E13*100,3),"#0.00")&amp;"%"</f>
        <v>63.64%</v>
      </c>
      <c r="I13" s="5" t="str">
        <f t="shared" ref="I13:I24" si="1">TEXT(ROUNDDOWN(F13/D13,3),"#0.00")&amp;":1"</f>
        <v>2.33:1</v>
      </c>
    </row>
    <row r="14" spans="1:9" ht="54" customHeight="1">
      <c r="A14" s="121"/>
      <c r="B14" s="123"/>
      <c r="C14" s="4" t="s">
        <v>6</v>
      </c>
      <c r="D14" s="9">
        <v>2</v>
      </c>
      <c r="E14" s="10">
        <f>SUM(원본데이터!D5)</f>
        <v>24</v>
      </c>
      <c r="F14" s="10">
        <f>SUM(원본데이터!E5)</f>
        <v>18</v>
      </c>
      <c r="G14" s="10">
        <f>E14-F14</f>
        <v>6</v>
      </c>
      <c r="H14" s="14" t="str">
        <f t="shared" si="0"/>
        <v>75.00%</v>
      </c>
      <c r="I14" s="5" t="str">
        <f t="shared" si="1"/>
        <v>9.00:1</v>
      </c>
    </row>
    <row r="15" spans="1:9" ht="54" customHeight="1">
      <c r="A15" s="121"/>
      <c r="B15" s="123"/>
      <c r="C15" s="67" t="s">
        <v>7</v>
      </c>
      <c r="D15" s="68">
        <f>SUM(D12:D14)</f>
        <v>35</v>
      </c>
      <c r="E15" s="69">
        <f>SUM(E12:E14)</f>
        <v>806</v>
      </c>
      <c r="F15" s="69">
        <f>SUM(F12:F14)</f>
        <v>612</v>
      </c>
      <c r="G15" s="69">
        <f t="shared" ref="G15" si="2">SUM(G12:G14)</f>
        <v>194</v>
      </c>
      <c r="H15" s="70" t="str">
        <f>TEXT(ROUNDDOWN(F15/E15*100,3),"#0.00")&amp;"%"</f>
        <v>75.93%</v>
      </c>
      <c r="I15" s="70" t="str">
        <f t="shared" si="1"/>
        <v>17.49:1</v>
      </c>
    </row>
    <row r="16" spans="1:9" ht="54" customHeight="1">
      <c r="A16" s="121"/>
      <c r="B16" s="128" t="s">
        <v>20</v>
      </c>
      <c r="C16" s="129"/>
      <c r="D16" s="11">
        <v>3</v>
      </c>
      <c r="E16" s="11">
        <f>SUM(원본데이터!D43:D44)</f>
        <v>38</v>
      </c>
      <c r="F16" s="11">
        <f>SUM(원본데이터!E43:E44)</f>
        <v>26</v>
      </c>
      <c r="G16" s="12">
        <f>E16-F16</f>
        <v>12</v>
      </c>
      <c r="H16" s="15" t="str">
        <f>TEXT(ROUNDDOWN(F16/E16*100,3),"#0.00")&amp;"%"</f>
        <v>68.42%</v>
      </c>
      <c r="I16" s="6" t="str">
        <f t="shared" ref="I16" si="3">TEXT(ROUNDDOWN(F16/D16,3),"#0.00")&amp;":1"</f>
        <v>8.67:1</v>
      </c>
    </row>
    <row r="17" spans="1:9" ht="54" customHeight="1">
      <c r="A17" s="121"/>
      <c r="B17" s="111" t="s">
        <v>36</v>
      </c>
      <c r="C17" s="112"/>
      <c r="D17" s="11">
        <v>2</v>
      </c>
      <c r="E17" s="12">
        <f>SUM(원본데이터!D45:D46)</f>
        <v>27</v>
      </c>
      <c r="F17" s="12">
        <f>SUM(원본데이터!E45:E46)</f>
        <v>10</v>
      </c>
      <c r="G17" s="12">
        <f>E17-F17</f>
        <v>17</v>
      </c>
      <c r="H17" s="15" t="str">
        <f>TEXT(ROUNDDOWN(F17/E17*100,3),"#0.00")&amp;"%"</f>
        <v>37.04%</v>
      </c>
      <c r="I17" s="6" t="str">
        <f t="shared" ref="I17" si="4">TEXT(ROUNDDOWN(F17/D17,3),"#0.00")&amp;":1"</f>
        <v>5.00:1</v>
      </c>
    </row>
    <row r="18" spans="1:9" ht="54" customHeight="1">
      <c r="A18" s="121"/>
      <c r="B18" s="113" t="s">
        <v>9</v>
      </c>
      <c r="C18" s="114"/>
      <c r="D18" s="59">
        <f>SUM(D15:D17)</f>
        <v>40</v>
      </c>
      <c r="E18" s="59">
        <f>SUM(E15:E17)</f>
        <v>871</v>
      </c>
      <c r="F18" s="59">
        <f>SUM(F15:F17)</f>
        <v>648</v>
      </c>
      <c r="G18" s="59">
        <f>SUM(G15:G17)</f>
        <v>223</v>
      </c>
      <c r="H18" s="60" t="str">
        <f t="shared" si="0"/>
        <v>74.40%</v>
      </c>
      <c r="I18" s="61" t="str">
        <f t="shared" si="1"/>
        <v>16.20:1</v>
      </c>
    </row>
    <row r="19" spans="1:9" ht="54" customHeight="1">
      <c r="A19" s="125" t="s">
        <v>12</v>
      </c>
      <c r="B19" s="111" t="s">
        <v>29</v>
      </c>
      <c r="C19" s="112"/>
      <c r="D19" s="11">
        <v>9</v>
      </c>
      <c r="E19" s="12">
        <f>SUM(원본데이터!D29:D32)</f>
        <v>80</v>
      </c>
      <c r="F19" s="12">
        <f>SUM(원본데이터!E29:E32)</f>
        <v>56</v>
      </c>
      <c r="G19" s="12">
        <f>E19-F19</f>
        <v>24</v>
      </c>
      <c r="H19" s="15" t="str">
        <f t="shared" ref="H19" si="5">TEXT(ROUNDDOWN(F19/E19*100,3),"#0.00")&amp;"%"</f>
        <v>70.00%</v>
      </c>
      <c r="I19" s="6" t="str">
        <f t="shared" ref="I19" si="6">TEXT(ROUNDDOWN(F19/D19,3),"#0.00")&amp;":1"</f>
        <v>6.22:1</v>
      </c>
    </row>
    <row r="20" spans="1:9" ht="54" customHeight="1">
      <c r="A20" s="126"/>
      <c r="B20" s="111" t="s">
        <v>30</v>
      </c>
      <c r="C20" s="112"/>
      <c r="D20" s="25">
        <v>3</v>
      </c>
      <c r="E20" s="12">
        <f>SUM(원본데이터!D33)</f>
        <v>2</v>
      </c>
      <c r="F20" s="12">
        <f>SUM(원본데이터!E33)</f>
        <v>2</v>
      </c>
      <c r="G20" s="12">
        <f>E20-F20</f>
        <v>0</v>
      </c>
      <c r="H20" s="15" t="str">
        <f t="shared" ref="H20:H21" si="7">TEXT(ROUNDDOWN(F20/E20*100,3),"#0.00")&amp;"%"</f>
        <v>100.00%</v>
      </c>
      <c r="I20" s="6" t="str">
        <f t="shared" ref="I20:I22" si="8">TEXT(ROUNDDOWN(F20/D20,3),"#0.00")&amp;":1"</f>
        <v>0.67:1</v>
      </c>
    </row>
    <row r="21" spans="1:9" ht="54" customHeight="1">
      <c r="A21" s="126"/>
      <c r="B21" s="111" t="s">
        <v>37</v>
      </c>
      <c r="C21" s="112"/>
      <c r="D21" s="25">
        <v>2</v>
      </c>
      <c r="E21" s="12">
        <f>원본데이터!D34</f>
        <v>15</v>
      </c>
      <c r="F21" s="12">
        <f>원본데이터!E34</f>
        <v>11</v>
      </c>
      <c r="G21" s="12">
        <f>E21-F21</f>
        <v>4</v>
      </c>
      <c r="H21" s="15" t="str">
        <f t="shared" si="7"/>
        <v>73.33%</v>
      </c>
      <c r="I21" s="6" t="str">
        <f t="shared" si="8"/>
        <v>5.50:1</v>
      </c>
    </row>
    <row r="22" spans="1:9" ht="54" customHeight="1">
      <c r="A22" s="126"/>
      <c r="B22" s="111" t="s">
        <v>38</v>
      </c>
      <c r="C22" s="112"/>
      <c r="D22" s="25">
        <v>1</v>
      </c>
      <c r="E22" s="12">
        <v>0</v>
      </c>
      <c r="F22" s="89">
        <v>0</v>
      </c>
      <c r="G22" s="12">
        <v>0</v>
      </c>
      <c r="H22" s="90">
        <v>0</v>
      </c>
      <c r="I22" s="6" t="str">
        <f t="shared" si="8"/>
        <v>0.00:1</v>
      </c>
    </row>
    <row r="23" spans="1:9" ht="54" customHeight="1">
      <c r="A23" s="127"/>
      <c r="B23" s="113" t="s">
        <v>11</v>
      </c>
      <c r="C23" s="114"/>
      <c r="D23" s="59">
        <f>SUM(D19:D22)</f>
        <v>15</v>
      </c>
      <c r="E23" s="59">
        <f>SUM(E19:E22)</f>
        <v>97</v>
      </c>
      <c r="F23" s="59">
        <f>SUM(F19:F21)</f>
        <v>69</v>
      </c>
      <c r="G23" s="59">
        <f>SUM(G19:G21)</f>
        <v>28</v>
      </c>
      <c r="H23" s="62" t="str">
        <f t="shared" ref="H23" si="9">TEXT(ROUNDDOWN(F23/E23*100,3),"#0.00")&amp;"%"</f>
        <v>71.13%</v>
      </c>
      <c r="I23" s="63" t="str">
        <f t="shared" ref="I23" si="10">TEXT(ROUNDDOWN(F23/D23,3),"#0.00")&amp;":1"</f>
        <v>4.60:1</v>
      </c>
    </row>
    <row r="24" spans="1:9" ht="54" customHeight="1" thickBot="1">
      <c r="A24" s="115" t="s">
        <v>17</v>
      </c>
      <c r="B24" s="116"/>
      <c r="C24" s="117"/>
      <c r="D24" s="64">
        <f>D18+D23</f>
        <v>55</v>
      </c>
      <c r="E24" s="64">
        <f>E18+E23</f>
        <v>968</v>
      </c>
      <c r="F24" s="64">
        <f>F18+F23</f>
        <v>717</v>
      </c>
      <c r="G24" s="64">
        <f>G18+G23</f>
        <v>251</v>
      </c>
      <c r="H24" s="65" t="str">
        <f t="shared" si="0"/>
        <v>74.07%</v>
      </c>
      <c r="I24" s="66" t="str">
        <f t="shared" si="1"/>
        <v>13.04:1</v>
      </c>
    </row>
    <row r="25" spans="1:9" ht="21" thickTop="1"/>
  </sheetData>
  <sheetProtection formatCells="0" formatColumns="0" formatRows="0" sort="0" autoFilter="0"/>
  <mergeCells count="15">
    <mergeCell ref="B21:C21"/>
    <mergeCell ref="B22:C22"/>
    <mergeCell ref="B23:C23"/>
    <mergeCell ref="A24:C24"/>
    <mergeCell ref="A4:I4"/>
    <mergeCell ref="A5:I5"/>
    <mergeCell ref="A12:A18"/>
    <mergeCell ref="B12:B15"/>
    <mergeCell ref="B18:C18"/>
    <mergeCell ref="A9:I9"/>
    <mergeCell ref="B19:C19"/>
    <mergeCell ref="A19:A23"/>
    <mergeCell ref="B16:C16"/>
    <mergeCell ref="B17:C17"/>
    <mergeCell ref="B20:C2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7"/>
  <sheetViews>
    <sheetView workbookViewId="0">
      <selection sqref="A1:G1"/>
    </sheetView>
  </sheetViews>
  <sheetFormatPr defaultRowHeight="16.5"/>
  <cols>
    <col min="2" max="2" width="5.375" style="16" customWidth="1"/>
    <col min="3" max="3" width="20.125" style="16" customWidth="1"/>
    <col min="4" max="7" width="12.75" style="16" customWidth="1"/>
  </cols>
  <sheetData>
    <row r="1" spans="1:9" ht="43.5" customHeight="1">
      <c r="A1" s="130" t="s">
        <v>39</v>
      </c>
      <c r="B1" s="130"/>
      <c r="C1" s="130"/>
      <c r="D1" s="130"/>
      <c r="E1" s="130"/>
      <c r="F1" s="130"/>
      <c r="G1" s="130"/>
    </row>
    <row r="2" spans="1:9" ht="17.25" thickBot="1">
      <c r="B2" s="18"/>
      <c r="C2" s="18"/>
      <c r="D2" s="18"/>
      <c r="E2" s="18"/>
      <c r="F2" s="131" t="s">
        <v>40</v>
      </c>
      <c r="G2" s="131"/>
    </row>
    <row r="3" spans="1:9" ht="44.25" customHeight="1" thickBot="1">
      <c r="A3" s="19" t="s">
        <v>21</v>
      </c>
      <c r="B3" s="19" t="s">
        <v>18</v>
      </c>
      <c r="C3" s="20" t="s">
        <v>19</v>
      </c>
      <c r="D3" s="56" t="s">
        <v>22</v>
      </c>
      <c r="E3" s="58" t="s">
        <v>23</v>
      </c>
      <c r="F3" s="57" t="s">
        <v>24</v>
      </c>
      <c r="G3" s="21" t="s">
        <v>16</v>
      </c>
      <c r="I3" s="24" t="s">
        <v>28</v>
      </c>
    </row>
    <row r="4" spans="1:9" ht="17.25" thickTop="1">
      <c r="A4" s="95" t="s">
        <v>25</v>
      </c>
      <c r="B4" s="40">
        <v>1</v>
      </c>
      <c r="C4" s="41" t="s">
        <v>26</v>
      </c>
      <c r="D4" s="33">
        <v>11</v>
      </c>
      <c r="E4" s="34">
        <v>7</v>
      </c>
      <c r="F4" s="35">
        <f t="shared" ref="F4:F33" si="0">D4-E4</f>
        <v>4</v>
      </c>
      <c r="G4" s="36" t="str">
        <f t="shared" ref="G4:G33" si="1">TEXT(ROUNDDOWN(E4/D4*100,3),"#0.00")&amp;"%"</f>
        <v>63.64%</v>
      </c>
    </row>
    <row r="5" spans="1:9">
      <c r="A5" s="42" t="s">
        <v>25</v>
      </c>
      <c r="B5" s="40">
        <v>2</v>
      </c>
      <c r="C5" s="37" t="s">
        <v>32</v>
      </c>
      <c r="D5" s="38">
        <v>24</v>
      </c>
      <c r="E5" s="39">
        <v>18</v>
      </c>
      <c r="F5" s="35">
        <f t="shared" si="0"/>
        <v>6</v>
      </c>
      <c r="G5" s="36" t="str">
        <f t="shared" si="1"/>
        <v>75.00%</v>
      </c>
    </row>
    <row r="6" spans="1:9">
      <c r="A6" s="96" t="s">
        <v>25</v>
      </c>
      <c r="B6" s="97">
        <v>3</v>
      </c>
      <c r="C6" s="17" t="s">
        <v>8</v>
      </c>
      <c r="D6" s="98">
        <v>25</v>
      </c>
      <c r="E6" s="39">
        <v>19</v>
      </c>
      <c r="F6" s="35">
        <f t="shared" si="0"/>
        <v>6</v>
      </c>
      <c r="G6" s="36" t="str">
        <f t="shared" si="1"/>
        <v>76.00%</v>
      </c>
    </row>
    <row r="7" spans="1:9">
      <c r="A7" s="79" t="s">
        <v>25</v>
      </c>
      <c r="B7" s="78">
        <v>4</v>
      </c>
      <c r="C7" s="17" t="s">
        <v>8</v>
      </c>
      <c r="D7" s="80">
        <v>21</v>
      </c>
      <c r="E7" s="30">
        <v>19</v>
      </c>
      <c r="F7" s="81">
        <f t="shared" si="0"/>
        <v>2</v>
      </c>
      <c r="G7" s="82" t="str">
        <f t="shared" si="1"/>
        <v>90.48%</v>
      </c>
    </row>
    <row r="8" spans="1:9">
      <c r="A8" s="79" t="s">
        <v>25</v>
      </c>
      <c r="B8" s="78">
        <v>5</v>
      </c>
      <c r="C8" s="17" t="s">
        <v>8</v>
      </c>
      <c r="D8" s="98">
        <v>25</v>
      </c>
      <c r="E8" s="47">
        <v>20</v>
      </c>
      <c r="F8" s="81">
        <f t="shared" si="0"/>
        <v>5</v>
      </c>
      <c r="G8" s="82" t="str">
        <f t="shared" si="1"/>
        <v>80.00%</v>
      </c>
    </row>
    <row r="9" spans="1:9">
      <c r="A9" s="22" t="s">
        <v>25</v>
      </c>
      <c r="B9" s="78">
        <v>6</v>
      </c>
      <c r="C9" s="17" t="s">
        <v>8</v>
      </c>
      <c r="D9" s="98">
        <v>25</v>
      </c>
      <c r="E9" s="23">
        <v>17</v>
      </c>
      <c r="F9" s="81">
        <f t="shared" si="0"/>
        <v>8</v>
      </c>
      <c r="G9" s="82" t="str">
        <f t="shared" si="1"/>
        <v>68.00%</v>
      </c>
    </row>
    <row r="10" spans="1:9">
      <c r="A10" s="22" t="s">
        <v>25</v>
      </c>
      <c r="B10" s="78">
        <v>7</v>
      </c>
      <c r="C10" s="17" t="s">
        <v>8</v>
      </c>
      <c r="D10" s="98">
        <v>25</v>
      </c>
      <c r="E10" s="23">
        <v>17</v>
      </c>
      <c r="F10" s="81">
        <f t="shared" si="0"/>
        <v>8</v>
      </c>
      <c r="G10" s="82" t="str">
        <f t="shared" si="1"/>
        <v>68.00%</v>
      </c>
    </row>
    <row r="11" spans="1:9">
      <c r="A11" s="79" t="s">
        <v>25</v>
      </c>
      <c r="B11" s="78">
        <v>8</v>
      </c>
      <c r="C11" s="17" t="s">
        <v>8</v>
      </c>
      <c r="D11" s="98">
        <v>25</v>
      </c>
      <c r="E11" s="23">
        <v>21</v>
      </c>
      <c r="F11" s="81">
        <f t="shared" si="0"/>
        <v>4</v>
      </c>
      <c r="G11" s="82" t="str">
        <f t="shared" si="1"/>
        <v>84.00%</v>
      </c>
    </row>
    <row r="12" spans="1:9">
      <c r="A12" s="79" t="s">
        <v>25</v>
      </c>
      <c r="B12" s="78">
        <v>9</v>
      </c>
      <c r="C12" s="17" t="s">
        <v>8</v>
      </c>
      <c r="D12" s="98">
        <v>25</v>
      </c>
      <c r="E12" s="23">
        <v>19</v>
      </c>
      <c r="F12" s="81">
        <f t="shared" si="0"/>
        <v>6</v>
      </c>
      <c r="G12" s="82" t="str">
        <f t="shared" si="1"/>
        <v>76.00%</v>
      </c>
    </row>
    <row r="13" spans="1:9">
      <c r="A13" s="79" t="s">
        <v>25</v>
      </c>
      <c r="B13" s="78">
        <v>10</v>
      </c>
      <c r="C13" s="17" t="s">
        <v>8</v>
      </c>
      <c r="D13" s="98">
        <v>25</v>
      </c>
      <c r="E13" s="53">
        <v>20</v>
      </c>
      <c r="F13" s="81">
        <f t="shared" si="0"/>
        <v>5</v>
      </c>
      <c r="G13" s="82" t="str">
        <f t="shared" si="1"/>
        <v>80.00%</v>
      </c>
    </row>
    <row r="14" spans="1:9">
      <c r="A14" s="79" t="s">
        <v>31</v>
      </c>
      <c r="B14" s="78">
        <v>11</v>
      </c>
      <c r="C14" s="17" t="s">
        <v>8</v>
      </c>
      <c r="D14" s="98">
        <v>25</v>
      </c>
      <c r="E14" s="30">
        <v>22</v>
      </c>
      <c r="F14" s="81">
        <f t="shared" si="0"/>
        <v>3</v>
      </c>
      <c r="G14" s="82" t="str">
        <f t="shared" si="1"/>
        <v>88.00%</v>
      </c>
    </row>
    <row r="15" spans="1:9">
      <c r="A15" s="22" t="s">
        <v>25</v>
      </c>
      <c r="B15" s="78">
        <v>12</v>
      </c>
      <c r="C15" s="17" t="s">
        <v>8</v>
      </c>
      <c r="D15" s="98">
        <v>25</v>
      </c>
      <c r="E15" s="23">
        <v>19</v>
      </c>
      <c r="F15" s="81">
        <f t="shared" si="0"/>
        <v>6</v>
      </c>
      <c r="G15" s="82" t="str">
        <f t="shared" si="1"/>
        <v>76.00%</v>
      </c>
    </row>
    <row r="16" spans="1:9">
      <c r="A16" s="22" t="s">
        <v>25</v>
      </c>
      <c r="B16" s="78">
        <v>13</v>
      </c>
      <c r="C16" s="17" t="s">
        <v>8</v>
      </c>
      <c r="D16" s="98">
        <v>25</v>
      </c>
      <c r="E16" s="23">
        <v>16</v>
      </c>
      <c r="F16" s="81">
        <f t="shared" si="0"/>
        <v>9</v>
      </c>
      <c r="G16" s="82" t="str">
        <f t="shared" si="1"/>
        <v>64.00%</v>
      </c>
    </row>
    <row r="17" spans="1:7">
      <c r="A17" s="22" t="s">
        <v>25</v>
      </c>
      <c r="B17" s="78">
        <v>14</v>
      </c>
      <c r="C17" s="17" t="s">
        <v>8</v>
      </c>
      <c r="D17" s="98">
        <v>25</v>
      </c>
      <c r="E17" s="23">
        <v>19</v>
      </c>
      <c r="F17" s="81">
        <f t="shared" si="0"/>
        <v>6</v>
      </c>
      <c r="G17" s="82" t="str">
        <f t="shared" si="1"/>
        <v>76.00%</v>
      </c>
    </row>
    <row r="18" spans="1:7">
      <c r="A18" s="22" t="s">
        <v>25</v>
      </c>
      <c r="B18" s="78">
        <v>15</v>
      </c>
      <c r="C18" s="17" t="s">
        <v>8</v>
      </c>
      <c r="D18" s="98">
        <v>25</v>
      </c>
      <c r="E18" s="23">
        <v>20</v>
      </c>
      <c r="F18" s="81">
        <f t="shared" si="0"/>
        <v>5</v>
      </c>
      <c r="G18" s="82" t="str">
        <f t="shared" si="1"/>
        <v>80.00%</v>
      </c>
    </row>
    <row r="19" spans="1:7">
      <c r="A19" s="22" t="s">
        <v>25</v>
      </c>
      <c r="B19" s="78">
        <v>16</v>
      </c>
      <c r="C19" s="17" t="s">
        <v>8</v>
      </c>
      <c r="D19" s="98">
        <v>25</v>
      </c>
      <c r="E19" s="23">
        <v>21</v>
      </c>
      <c r="F19" s="81">
        <f t="shared" si="0"/>
        <v>4</v>
      </c>
      <c r="G19" s="82" t="str">
        <f t="shared" si="1"/>
        <v>84.00%</v>
      </c>
    </row>
    <row r="20" spans="1:7">
      <c r="A20" s="22" t="s">
        <v>25</v>
      </c>
      <c r="B20" s="78">
        <v>17</v>
      </c>
      <c r="C20" s="17" t="s">
        <v>8</v>
      </c>
      <c r="D20" s="98">
        <v>25</v>
      </c>
      <c r="E20" s="23">
        <v>20</v>
      </c>
      <c r="F20" s="81">
        <f t="shared" si="0"/>
        <v>5</v>
      </c>
      <c r="G20" s="82" t="str">
        <f t="shared" si="1"/>
        <v>80.00%</v>
      </c>
    </row>
    <row r="21" spans="1:7">
      <c r="A21" s="22" t="s">
        <v>25</v>
      </c>
      <c r="B21" s="78">
        <v>18</v>
      </c>
      <c r="C21" s="17" t="s">
        <v>8</v>
      </c>
      <c r="D21" s="98">
        <v>25</v>
      </c>
      <c r="E21" s="23">
        <v>19</v>
      </c>
      <c r="F21" s="81">
        <f t="shared" si="0"/>
        <v>6</v>
      </c>
      <c r="G21" s="82" t="str">
        <f t="shared" si="1"/>
        <v>76.00%</v>
      </c>
    </row>
    <row r="22" spans="1:7">
      <c r="A22" s="22" t="s">
        <v>25</v>
      </c>
      <c r="B22" s="78">
        <v>19</v>
      </c>
      <c r="C22" s="17" t="s">
        <v>8</v>
      </c>
      <c r="D22" s="98">
        <v>25</v>
      </c>
      <c r="E22" s="23">
        <v>16</v>
      </c>
      <c r="F22" s="81">
        <f t="shared" si="0"/>
        <v>9</v>
      </c>
      <c r="G22" s="82" t="str">
        <f t="shared" si="1"/>
        <v>64.00%</v>
      </c>
    </row>
    <row r="23" spans="1:7">
      <c r="A23" s="22" t="s">
        <v>25</v>
      </c>
      <c r="B23" s="78">
        <v>20</v>
      </c>
      <c r="C23" s="17" t="s">
        <v>8</v>
      </c>
      <c r="D23" s="98">
        <v>25</v>
      </c>
      <c r="E23" s="23">
        <v>19</v>
      </c>
      <c r="F23" s="81">
        <f t="shared" si="0"/>
        <v>6</v>
      </c>
      <c r="G23" s="82" t="str">
        <f t="shared" si="1"/>
        <v>76.00%</v>
      </c>
    </row>
    <row r="24" spans="1:7">
      <c r="A24" s="22" t="s">
        <v>25</v>
      </c>
      <c r="B24" s="78">
        <v>21</v>
      </c>
      <c r="C24" s="17" t="s">
        <v>8</v>
      </c>
      <c r="D24" s="98">
        <v>25</v>
      </c>
      <c r="E24" s="23">
        <v>18</v>
      </c>
      <c r="F24" s="81">
        <f t="shared" si="0"/>
        <v>7</v>
      </c>
      <c r="G24" s="82" t="str">
        <f t="shared" si="1"/>
        <v>72.00%</v>
      </c>
    </row>
    <row r="25" spans="1:7">
      <c r="A25" s="22" t="s">
        <v>25</v>
      </c>
      <c r="B25" s="78">
        <v>22</v>
      </c>
      <c r="C25" s="17" t="s">
        <v>8</v>
      </c>
      <c r="D25" s="98">
        <v>25</v>
      </c>
      <c r="E25" s="23">
        <v>19</v>
      </c>
      <c r="F25" s="81">
        <f t="shared" si="0"/>
        <v>6</v>
      </c>
      <c r="G25" s="82" t="str">
        <f t="shared" si="1"/>
        <v>76.00%</v>
      </c>
    </row>
    <row r="26" spans="1:7">
      <c r="A26" s="22" t="s">
        <v>25</v>
      </c>
      <c r="B26" s="78">
        <v>23</v>
      </c>
      <c r="C26" s="17" t="s">
        <v>8</v>
      </c>
      <c r="D26" s="98">
        <v>25</v>
      </c>
      <c r="E26" s="23">
        <v>21</v>
      </c>
      <c r="F26" s="81">
        <f t="shared" si="0"/>
        <v>4</v>
      </c>
      <c r="G26" s="82" t="str">
        <f t="shared" si="1"/>
        <v>84.00%</v>
      </c>
    </row>
    <row r="27" spans="1:7">
      <c r="A27" s="22" t="s">
        <v>25</v>
      </c>
      <c r="B27" s="78">
        <v>24</v>
      </c>
      <c r="C27" s="17" t="s">
        <v>8</v>
      </c>
      <c r="D27" s="98">
        <v>25</v>
      </c>
      <c r="E27" s="23">
        <v>15</v>
      </c>
      <c r="F27" s="81">
        <f t="shared" si="0"/>
        <v>10</v>
      </c>
      <c r="G27" s="82" t="str">
        <f t="shared" si="1"/>
        <v>60.00%</v>
      </c>
    </row>
    <row r="28" spans="1:7">
      <c r="A28" s="22" t="s">
        <v>25</v>
      </c>
      <c r="B28" s="78">
        <v>25</v>
      </c>
      <c r="C28" s="17" t="s">
        <v>8</v>
      </c>
      <c r="D28" s="98">
        <v>25</v>
      </c>
      <c r="E28" s="23">
        <v>18</v>
      </c>
      <c r="F28" s="81">
        <f t="shared" ref="F28" si="2">D28-E28</f>
        <v>7</v>
      </c>
      <c r="G28" s="82" t="str">
        <f t="shared" ref="G28" si="3">TEXT(ROUNDDOWN(E28/D28*100,3),"#0.00")&amp;"%"</f>
        <v>72.00%</v>
      </c>
    </row>
    <row r="29" spans="1:7">
      <c r="A29" s="26" t="s">
        <v>25</v>
      </c>
      <c r="B29" s="27">
        <v>26</v>
      </c>
      <c r="C29" s="28" t="s">
        <v>29</v>
      </c>
      <c r="D29" s="29">
        <v>20</v>
      </c>
      <c r="E29" s="30">
        <v>12</v>
      </c>
      <c r="F29" s="31">
        <f t="shared" si="0"/>
        <v>8</v>
      </c>
      <c r="G29" s="32" t="str">
        <f t="shared" si="1"/>
        <v>60.00%</v>
      </c>
    </row>
    <row r="30" spans="1:7">
      <c r="A30" s="26" t="s">
        <v>25</v>
      </c>
      <c r="B30" s="27">
        <v>27</v>
      </c>
      <c r="C30" s="28" t="s">
        <v>29</v>
      </c>
      <c r="D30" s="29">
        <v>20</v>
      </c>
      <c r="E30" s="30">
        <v>15</v>
      </c>
      <c r="F30" s="31">
        <f t="shared" si="0"/>
        <v>5</v>
      </c>
      <c r="G30" s="32" t="str">
        <f t="shared" si="1"/>
        <v>75.00%</v>
      </c>
    </row>
    <row r="31" spans="1:7">
      <c r="A31" s="26" t="s">
        <v>25</v>
      </c>
      <c r="B31" s="27">
        <v>28</v>
      </c>
      <c r="C31" s="28" t="s">
        <v>29</v>
      </c>
      <c r="D31" s="29">
        <v>20</v>
      </c>
      <c r="E31" s="30">
        <v>16</v>
      </c>
      <c r="F31" s="31">
        <f t="shared" si="0"/>
        <v>4</v>
      </c>
      <c r="G31" s="32" t="str">
        <f t="shared" si="1"/>
        <v>80.00%</v>
      </c>
    </row>
    <row r="32" spans="1:7">
      <c r="A32" s="26" t="s">
        <v>25</v>
      </c>
      <c r="B32" s="109">
        <v>29</v>
      </c>
      <c r="C32" s="28" t="s">
        <v>29</v>
      </c>
      <c r="D32" s="29">
        <v>20</v>
      </c>
      <c r="E32" s="30">
        <v>13</v>
      </c>
      <c r="F32" s="31">
        <f t="shared" si="0"/>
        <v>7</v>
      </c>
      <c r="G32" s="32" t="str">
        <f t="shared" si="1"/>
        <v>65.00%</v>
      </c>
    </row>
    <row r="33" spans="1:7">
      <c r="A33" s="26" t="s">
        <v>25</v>
      </c>
      <c r="B33" s="109">
        <v>29</v>
      </c>
      <c r="C33" s="28" t="s">
        <v>30</v>
      </c>
      <c r="D33" s="29">
        <v>2</v>
      </c>
      <c r="E33" s="30">
        <v>2</v>
      </c>
      <c r="F33" s="31">
        <f t="shared" si="0"/>
        <v>0</v>
      </c>
      <c r="G33" s="32" t="str">
        <f t="shared" si="1"/>
        <v>100.00%</v>
      </c>
    </row>
    <row r="34" spans="1:7">
      <c r="A34" s="43" t="s">
        <v>25</v>
      </c>
      <c r="B34" s="44">
        <v>30</v>
      </c>
      <c r="C34" s="45" t="s">
        <v>34</v>
      </c>
      <c r="D34" s="46">
        <v>15</v>
      </c>
      <c r="E34" s="47">
        <v>11</v>
      </c>
      <c r="F34" s="48">
        <f t="shared" ref="F34:F46" si="4">D34-E34</f>
        <v>4</v>
      </c>
      <c r="G34" s="49" t="str">
        <f t="shared" ref="G34:G46" si="5">TEXT(ROUNDDOWN(E34/D34*100,3),"#0.00")&amp;"%"</f>
        <v>73.33%</v>
      </c>
    </row>
    <row r="35" spans="1:7">
      <c r="A35" s="22" t="s">
        <v>25</v>
      </c>
      <c r="B35" s="78">
        <v>31</v>
      </c>
      <c r="C35" s="17" t="s">
        <v>8</v>
      </c>
      <c r="D35" s="98">
        <v>25</v>
      </c>
      <c r="E35" s="23">
        <v>18</v>
      </c>
      <c r="F35" s="81">
        <f t="shared" si="4"/>
        <v>7</v>
      </c>
      <c r="G35" s="82" t="str">
        <f t="shared" si="5"/>
        <v>72.00%</v>
      </c>
    </row>
    <row r="36" spans="1:7">
      <c r="A36" s="22" t="s">
        <v>25</v>
      </c>
      <c r="B36" s="78">
        <v>32</v>
      </c>
      <c r="C36" s="17" t="s">
        <v>8</v>
      </c>
      <c r="D36" s="98">
        <v>25</v>
      </c>
      <c r="E36" s="23">
        <v>19</v>
      </c>
      <c r="F36" s="81">
        <f t="shared" si="4"/>
        <v>6</v>
      </c>
      <c r="G36" s="82" t="str">
        <f t="shared" si="5"/>
        <v>76.00%</v>
      </c>
    </row>
    <row r="37" spans="1:7">
      <c r="A37" s="22" t="s">
        <v>25</v>
      </c>
      <c r="B37" s="78">
        <v>33</v>
      </c>
      <c r="C37" s="17" t="s">
        <v>8</v>
      </c>
      <c r="D37" s="98">
        <v>25</v>
      </c>
      <c r="E37" s="23">
        <v>19</v>
      </c>
      <c r="F37" s="81">
        <f t="shared" si="4"/>
        <v>6</v>
      </c>
      <c r="G37" s="82" t="str">
        <f t="shared" si="5"/>
        <v>76.00%</v>
      </c>
    </row>
    <row r="38" spans="1:7">
      <c r="A38" s="22" t="s">
        <v>25</v>
      </c>
      <c r="B38" s="78">
        <v>34</v>
      </c>
      <c r="C38" s="17" t="s">
        <v>8</v>
      </c>
      <c r="D38" s="98">
        <v>25</v>
      </c>
      <c r="E38" s="23">
        <v>19</v>
      </c>
      <c r="F38" s="81">
        <f t="shared" si="4"/>
        <v>6</v>
      </c>
      <c r="G38" s="82" t="str">
        <f t="shared" si="5"/>
        <v>76.00%</v>
      </c>
    </row>
    <row r="39" spans="1:7">
      <c r="A39" s="22" t="s">
        <v>25</v>
      </c>
      <c r="B39" s="78">
        <v>35</v>
      </c>
      <c r="C39" s="17" t="s">
        <v>8</v>
      </c>
      <c r="D39" s="98">
        <v>25</v>
      </c>
      <c r="E39" s="23">
        <v>16</v>
      </c>
      <c r="F39" s="81">
        <f t="shared" si="4"/>
        <v>9</v>
      </c>
      <c r="G39" s="82" t="str">
        <f t="shared" si="5"/>
        <v>64.00%</v>
      </c>
    </row>
    <row r="40" spans="1:7">
      <c r="A40" s="22" t="s">
        <v>25</v>
      </c>
      <c r="B40" s="78">
        <v>36</v>
      </c>
      <c r="C40" s="17" t="s">
        <v>8</v>
      </c>
      <c r="D40" s="98">
        <v>25</v>
      </c>
      <c r="E40" s="23">
        <v>19</v>
      </c>
      <c r="F40" s="81">
        <f t="shared" ref="F40:F42" si="6">D40-E40</f>
        <v>6</v>
      </c>
      <c r="G40" s="82" t="str">
        <f t="shared" ref="G40:G42" si="7">TEXT(ROUNDDOWN(E40/D40*100,3),"#0.00")&amp;"%"</f>
        <v>76.00%</v>
      </c>
    </row>
    <row r="41" spans="1:7">
      <c r="A41" s="22" t="s">
        <v>25</v>
      </c>
      <c r="B41" s="78">
        <v>37</v>
      </c>
      <c r="C41" s="17" t="s">
        <v>8</v>
      </c>
      <c r="D41" s="98">
        <v>25</v>
      </c>
      <c r="E41" s="23">
        <v>23</v>
      </c>
      <c r="F41" s="81">
        <f t="shared" si="6"/>
        <v>2</v>
      </c>
      <c r="G41" s="82" t="str">
        <f t="shared" si="7"/>
        <v>92.00%</v>
      </c>
    </row>
    <row r="42" spans="1:7">
      <c r="A42" s="22" t="s">
        <v>25</v>
      </c>
      <c r="B42" s="78">
        <v>38</v>
      </c>
      <c r="C42" s="17" t="s">
        <v>8</v>
      </c>
      <c r="D42" s="98">
        <v>25</v>
      </c>
      <c r="E42" s="47">
        <v>20</v>
      </c>
      <c r="F42" s="81">
        <f t="shared" si="6"/>
        <v>5</v>
      </c>
      <c r="G42" s="82" t="str">
        <f t="shared" si="7"/>
        <v>80.00%</v>
      </c>
    </row>
    <row r="43" spans="1:7">
      <c r="A43" s="22" t="s">
        <v>25</v>
      </c>
      <c r="B43" s="50">
        <v>39</v>
      </c>
      <c r="C43" s="51" t="s">
        <v>33</v>
      </c>
      <c r="D43" s="52">
        <v>23</v>
      </c>
      <c r="E43" s="53">
        <v>15</v>
      </c>
      <c r="F43" s="54">
        <f t="shared" si="4"/>
        <v>8</v>
      </c>
      <c r="G43" s="55" t="str">
        <f t="shared" si="5"/>
        <v>65.22%</v>
      </c>
    </row>
    <row r="44" spans="1:7">
      <c r="A44" s="94" t="s">
        <v>25</v>
      </c>
      <c r="B44" s="83">
        <v>40</v>
      </c>
      <c r="C44" s="84" t="s">
        <v>33</v>
      </c>
      <c r="D44" s="85">
        <v>15</v>
      </c>
      <c r="E44" s="86">
        <v>11</v>
      </c>
      <c r="F44" s="87">
        <f t="shared" si="4"/>
        <v>4</v>
      </c>
      <c r="G44" s="88" t="str">
        <f t="shared" si="5"/>
        <v>73.33%</v>
      </c>
    </row>
    <row r="45" spans="1:7">
      <c r="A45" s="42" t="s">
        <v>25</v>
      </c>
      <c r="B45" s="99">
        <v>40</v>
      </c>
      <c r="C45" s="91" t="s">
        <v>35</v>
      </c>
      <c r="D45" s="92">
        <v>5</v>
      </c>
      <c r="E45" s="93">
        <v>1</v>
      </c>
      <c r="F45" s="100">
        <f t="shared" si="4"/>
        <v>4</v>
      </c>
      <c r="G45" s="101" t="str">
        <f t="shared" si="5"/>
        <v>20.00%</v>
      </c>
    </row>
    <row r="46" spans="1:7" ht="17.25" thickBot="1">
      <c r="A46" s="102" t="s">
        <v>25</v>
      </c>
      <c r="B46" s="103">
        <v>41</v>
      </c>
      <c r="C46" s="104" t="s">
        <v>35</v>
      </c>
      <c r="D46" s="105">
        <v>22</v>
      </c>
      <c r="E46" s="106">
        <v>9</v>
      </c>
      <c r="F46" s="107">
        <f t="shared" si="4"/>
        <v>13</v>
      </c>
      <c r="G46" s="108" t="str">
        <f t="shared" si="5"/>
        <v>40.91%</v>
      </c>
    </row>
    <row r="47" spans="1:7">
      <c r="D47" s="16">
        <f>SUM(D4:D46)</f>
        <v>968</v>
      </c>
    </row>
  </sheetData>
  <sheetProtection formatCells="0" sort="0"/>
  <autoFilter ref="A3:I46"/>
  <mergeCells count="2">
    <mergeCell ref="A1:G1"/>
    <mergeCell ref="F2:G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응시현황</vt:lpstr>
      <vt:lpstr>원본데이터</vt:lpstr>
      <vt:lpstr>원본데이터!Print_Area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2023-06-10T01:26:39Z</cp:lastPrinted>
  <dcterms:created xsi:type="dcterms:W3CDTF">2016-04-19T01:11:08Z</dcterms:created>
  <dcterms:modified xsi:type="dcterms:W3CDTF">2023-06-10T03:53:06Z</dcterms:modified>
</cp:coreProperties>
</file>