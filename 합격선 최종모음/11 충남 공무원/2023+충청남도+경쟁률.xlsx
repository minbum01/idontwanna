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00. 임호철\☆ 2023년 공채\8. 접수인원\"/>
    </mc:Choice>
  </mc:AlternateContent>
  <bookViews>
    <workbookView xWindow="0" yWindow="0" windowWidth="28800" windowHeight="12390"/>
  </bookViews>
  <sheets>
    <sheet name="Sheet0" sheetId="1" r:id="rId1"/>
  </sheets>
  <definedNames>
    <definedName name="_xlnm.Print_Area" localSheetId="0">Sheet0!$A$1:$F$380</definedName>
  </definedNames>
  <calcPr calcId="152511"/>
</workbook>
</file>

<file path=xl/calcChain.xml><?xml version="1.0" encoding="utf-8"?>
<calcChain xmlns="http://schemas.openxmlformats.org/spreadsheetml/2006/main">
  <c r="E181" i="1" l="1"/>
  <c r="E175" i="1"/>
  <c r="E168" i="1"/>
  <c r="E154" i="1"/>
  <c r="E146" i="1"/>
  <c r="E133" i="1"/>
  <c r="E119" i="1"/>
  <c r="E115" i="1"/>
  <c r="E108" i="1"/>
  <c r="E104" i="1"/>
  <c r="E92" i="1"/>
  <c r="E75" i="1"/>
  <c r="E59" i="1"/>
  <c r="E33" i="1"/>
  <c r="E20" i="1"/>
  <c r="E8" i="1"/>
  <c r="E370" i="1"/>
  <c r="E363" i="1"/>
  <c r="E359" i="1"/>
  <c r="E355" i="1"/>
  <c r="E342" i="1"/>
  <c r="F13" i="1" l="1"/>
  <c r="E235" i="1" l="1"/>
  <c r="F235" i="1" s="1"/>
  <c r="D235" i="1"/>
  <c r="D209" i="1"/>
  <c r="E197" i="1"/>
  <c r="F197" i="1" s="1"/>
  <c r="D197" i="1"/>
  <c r="D181" i="1"/>
  <c r="D269" i="1"/>
  <c r="D108" i="1"/>
  <c r="D92" i="1"/>
  <c r="D75" i="1"/>
  <c r="D59" i="1"/>
  <c r="D33" i="1"/>
  <c r="D20" i="1"/>
  <c r="D8" i="1"/>
  <c r="D286" i="1"/>
  <c r="F344" i="1"/>
  <c r="E324" i="1"/>
  <c r="D324" i="1"/>
  <c r="E319" i="1"/>
  <c r="F319" i="1" s="1"/>
  <c r="D319" i="1"/>
  <c r="E303" i="1"/>
  <c r="D303" i="1"/>
  <c r="E286" i="1"/>
  <c r="F286" i="1" s="1"/>
  <c r="E269" i="1"/>
  <c r="E254" i="1"/>
  <c r="D254" i="1"/>
  <c r="E230" i="1"/>
  <c r="D230" i="1"/>
  <c r="E225" i="1"/>
  <c r="D225" i="1"/>
  <c r="F225" i="1" s="1"/>
  <c r="E221" i="1"/>
  <c r="D221" i="1"/>
  <c r="E209" i="1"/>
  <c r="D175" i="1"/>
  <c r="D168" i="1"/>
  <c r="D154" i="1"/>
  <c r="F154" i="1" s="1"/>
  <c r="D146" i="1"/>
  <c r="D133" i="1"/>
  <c r="D119" i="1"/>
  <c r="D115" i="1"/>
  <c r="F104" i="1"/>
  <c r="D104" i="1"/>
  <c r="F9" i="1"/>
  <c r="F10" i="1"/>
  <c r="F11" i="1"/>
  <c r="F12" i="1"/>
  <c r="F14" i="1"/>
  <c r="F15" i="1"/>
  <c r="F16" i="1"/>
  <c r="F17" i="1"/>
  <c r="F18" i="1"/>
  <c r="F19" i="1"/>
  <c r="F21" i="1"/>
  <c r="F22" i="1"/>
  <c r="F23" i="1"/>
  <c r="F24" i="1"/>
  <c r="F25" i="1"/>
  <c r="F26" i="1"/>
  <c r="F27" i="1"/>
  <c r="F28" i="1"/>
  <c r="F29" i="1"/>
  <c r="F30" i="1"/>
  <c r="F31" i="1"/>
  <c r="F32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3" i="1"/>
  <c r="F94" i="1"/>
  <c r="F95" i="1"/>
  <c r="F96" i="1"/>
  <c r="F97" i="1"/>
  <c r="F98" i="1"/>
  <c r="F99" i="1"/>
  <c r="F100" i="1"/>
  <c r="F101" i="1"/>
  <c r="F102" i="1"/>
  <c r="F103" i="1"/>
  <c r="F105" i="1"/>
  <c r="F106" i="1"/>
  <c r="F107" i="1"/>
  <c r="F108" i="1"/>
  <c r="F109" i="1"/>
  <c r="F110" i="1"/>
  <c r="F111" i="1"/>
  <c r="F112" i="1"/>
  <c r="F113" i="1"/>
  <c r="F114" i="1"/>
  <c r="F116" i="1"/>
  <c r="F117" i="1"/>
  <c r="F118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7" i="1"/>
  <c r="F148" i="1"/>
  <c r="F149" i="1"/>
  <c r="F150" i="1"/>
  <c r="F151" i="1"/>
  <c r="F152" i="1"/>
  <c r="F153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9" i="1"/>
  <c r="F170" i="1"/>
  <c r="F171" i="1"/>
  <c r="F172" i="1"/>
  <c r="F173" i="1"/>
  <c r="F174" i="1"/>
  <c r="F176" i="1"/>
  <c r="F177" i="1"/>
  <c r="F178" i="1"/>
  <c r="F179" i="1"/>
  <c r="F180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8" i="1"/>
  <c r="F199" i="1"/>
  <c r="F200" i="1"/>
  <c r="F201" i="1"/>
  <c r="F202" i="1"/>
  <c r="F203" i="1"/>
  <c r="F204" i="1"/>
  <c r="F205" i="1"/>
  <c r="F206" i="1"/>
  <c r="F207" i="1"/>
  <c r="F208" i="1"/>
  <c r="F210" i="1"/>
  <c r="F211" i="1"/>
  <c r="F212" i="1"/>
  <c r="F213" i="1"/>
  <c r="F214" i="1"/>
  <c r="F215" i="1"/>
  <c r="F216" i="1"/>
  <c r="F217" i="1"/>
  <c r="F218" i="1"/>
  <c r="F219" i="1"/>
  <c r="F220" i="1"/>
  <c r="F222" i="1"/>
  <c r="F223" i="1"/>
  <c r="F224" i="1"/>
  <c r="F226" i="1"/>
  <c r="F227" i="1"/>
  <c r="F228" i="1"/>
  <c r="F229" i="1"/>
  <c r="F230" i="1"/>
  <c r="F231" i="1"/>
  <c r="F232" i="1"/>
  <c r="F233" i="1"/>
  <c r="F234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20" i="1"/>
  <c r="F321" i="1"/>
  <c r="F322" i="1"/>
  <c r="F323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3" i="1"/>
  <c r="F345" i="1"/>
  <c r="F346" i="1"/>
  <c r="F347" i="1"/>
  <c r="F348" i="1"/>
  <c r="F349" i="1"/>
  <c r="F350" i="1"/>
  <c r="F351" i="1"/>
  <c r="F352" i="1"/>
  <c r="F353" i="1"/>
  <c r="F354" i="1"/>
  <c r="F356" i="1"/>
  <c r="F357" i="1"/>
  <c r="F358" i="1"/>
  <c r="F360" i="1"/>
  <c r="F361" i="1"/>
  <c r="F362" i="1"/>
  <c r="F364" i="1"/>
  <c r="F365" i="1"/>
  <c r="F366" i="1"/>
  <c r="F367" i="1"/>
  <c r="F368" i="1"/>
  <c r="F369" i="1"/>
  <c r="F371" i="1"/>
  <c r="F372" i="1"/>
  <c r="F373" i="1"/>
  <c r="F374" i="1"/>
  <c r="F375" i="1"/>
  <c r="F376" i="1"/>
  <c r="F377" i="1"/>
  <c r="F378" i="1"/>
  <c r="F379" i="1"/>
  <c r="F380" i="1"/>
  <c r="D7" i="1" l="1"/>
  <c r="F254" i="1"/>
  <c r="F303" i="1"/>
  <c r="F269" i="1"/>
  <c r="F175" i="1"/>
  <c r="F221" i="1"/>
  <c r="F115" i="1"/>
  <c r="F133" i="1"/>
  <c r="F324" i="1"/>
  <c r="F168" i="1"/>
  <c r="F181" i="1"/>
  <c r="F146" i="1"/>
  <c r="F119" i="1"/>
  <c r="F92" i="1"/>
  <c r="F75" i="1"/>
  <c r="F209" i="1"/>
  <c r="D363" i="1"/>
  <c r="E341" i="1" l="1"/>
  <c r="F33" i="1"/>
  <c r="F20" i="1"/>
  <c r="F59" i="1"/>
  <c r="F363" i="1"/>
  <c r="D355" i="1"/>
  <c r="F355" i="1" s="1"/>
  <c r="D342" i="1"/>
  <c r="D359" i="1"/>
  <c r="F359" i="1" s="1"/>
  <c r="F342" i="1" l="1"/>
  <c r="D370" i="1"/>
  <c r="F370" i="1" s="1"/>
  <c r="E7" i="1"/>
  <c r="F7" i="1" s="1"/>
  <c r="D341" i="1" l="1"/>
  <c r="F341" i="1" s="1"/>
  <c r="F8" i="1"/>
  <c r="E6" i="1"/>
  <c r="D6" i="1" l="1"/>
  <c r="F6" i="1"/>
</calcChain>
</file>

<file path=xl/sharedStrings.xml><?xml version="1.0" encoding="utf-8"?>
<sst xmlns="http://schemas.openxmlformats.org/spreadsheetml/2006/main" count="429" uniqueCount="90">
  <si>
    <t>임용기관</t>
  </si>
  <si>
    <t>선발
예정인원</t>
  </si>
  <si>
    <t>합계
(명)</t>
  </si>
  <si>
    <t>천안시</t>
  </si>
  <si>
    <t>아산시</t>
  </si>
  <si>
    <t>논산시</t>
  </si>
  <si>
    <t>금산군</t>
  </si>
  <si>
    <t>부여군</t>
  </si>
  <si>
    <t>서천군</t>
  </si>
  <si>
    <t>예산군</t>
  </si>
  <si>
    <t>태안군</t>
  </si>
  <si>
    <t>충청남도</t>
  </si>
  <si>
    <t>공주시</t>
  </si>
  <si>
    <t>보령시</t>
  </si>
  <si>
    <t>서산시</t>
  </si>
  <si>
    <t>계룡시</t>
  </si>
  <si>
    <t>당진시</t>
  </si>
  <si>
    <t>청양군</t>
  </si>
  <si>
    <t>홍성군</t>
  </si>
  <si>
    <t>충청남도의회</t>
  </si>
  <si>
    <t>아산시의회</t>
  </si>
  <si>
    <t>서산시의회</t>
  </si>
  <si>
    <t>부여군의회</t>
  </si>
  <si>
    <t>서천군의회</t>
  </si>
  <si>
    <t>태안군의회</t>
  </si>
  <si>
    <t>9급 시설(일반토목:일반)</t>
  </si>
  <si>
    <t>9급 시설(건축:일반)</t>
  </si>
  <si>
    <t>9급 시설(지적)</t>
  </si>
  <si>
    <t>9급 시설(도시계획)</t>
  </si>
  <si>
    <t>9급 방재안전(방재안전)</t>
  </si>
  <si>
    <t>9급 방송통신(통신기술)</t>
  </si>
  <si>
    <t>9급 식품위생(식품위생)</t>
  </si>
  <si>
    <t>소계</t>
    <phoneticPr fontId="1" type="noConversion"/>
  </si>
  <si>
    <t>경쟁률</t>
    <phoneticPr fontId="1" type="noConversion"/>
  </si>
  <si>
    <t>시험명</t>
    <phoneticPr fontId="1" type="noConversion"/>
  </si>
  <si>
    <t>총 계</t>
    <phoneticPr fontId="1" type="noConversion"/>
  </si>
  <si>
    <t>계</t>
    <phoneticPr fontId="1" type="noConversion"/>
  </si>
  <si>
    <t>9급 운전(운전)</t>
  </si>
  <si>
    <t>직급/직렬명</t>
    <phoneticPr fontId="1" type="noConversion"/>
  </si>
  <si>
    <t>2023. 6. 10.(토) 시행 충청남도 지방공무원 임용시험 원서접수 결과</t>
    <phoneticPr fontId="1" type="noConversion"/>
  </si>
  <si>
    <t>제1회 공개경쟁임용시험</t>
    <phoneticPr fontId="1" type="noConversion"/>
  </si>
  <si>
    <t>제1회
경력경쟁
임용시험</t>
    <phoneticPr fontId="1" type="noConversion"/>
  </si>
  <si>
    <t>9급 속기(속기)</t>
    <phoneticPr fontId="1" type="noConversion"/>
  </si>
  <si>
    <t>7급 수의(수의)</t>
    <phoneticPr fontId="1" type="noConversion"/>
  </si>
  <si>
    <t>아산시의회</t>
    <phoneticPr fontId="1" type="noConversion"/>
  </si>
  <si>
    <t>논산시의회</t>
  </si>
  <si>
    <t>논산시의회</t>
    <phoneticPr fontId="1" type="noConversion"/>
  </si>
  <si>
    <t>서천군의회</t>
    <phoneticPr fontId="1" type="noConversion"/>
  </si>
  <si>
    <t>9급 의료기술(의료기술:치위생)</t>
    <phoneticPr fontId="1" type="noConversion"/>
  </si>
  <si>
    <t>9급 의료기술(의료기술:임상병리)</t>
    <phoneticPr fontId="1" type="noConversion"/>
  </si>
  <si>
    <t>소계</t>
    <phoneticPr fontId="1" type="noConversion"/>
  </si>
  <si>
    <t>논산시</t>
    <phoneticPr fontId="1" type="noConversion"/>
  </si>
  <si>
    <t>당진시</t>
    <phoneticPr fontId="1" type="noConversion"/>
  </si>
  <si>
    <t>금산군</t>
    <phoneticPr fontId="1" type="noConversion"/>
  </si>
  <si>
    <t>2023. 3. 21.(화) 현재</t>
    <phoneticPr fontId="1" type="noConversion"/>
  </si>
  <si>
    <t>제1회 경력경쟁임용시험</t>
    <phoneticPr fontId="1" type="noConversion"/>
  </si>
  <si>
    <t>제1회
공개경쟁
임용시험</t>
    <phoneticPr fontId="1" type="noConversion"/>
  </si>
  <si>
    <t>8급 간호(간호)</t>
    <phoneticPr fontId="1" type="noConversion"/>
  </si>
  <si>
    <t>8급 보건진료(보건진료)</t>
    <phoneticPr fontId="1" type="noConversion"/>
  </si>
  <si>
    <t>금산군의회</t>
  </si>
  <si>
    <t>보령시의회</t>
  </si>
  <si>
    <t>공주시의회</t>
  </si>
  <si>
    <t>9급 일반행정(일반행정:일반)</t>
    <phoneticPr fontId="1" type="noConversion"/>
  </si>
  <si>
    <t>9급 일반행정(일반행정:장애인)</t>
    <phoneticPr fontId="1" type="noConversion"/>
  </si>
  <si>
    <t>9급 세무(지방세:일반)</t>
    <phoneticPr fontId="1" type="noConversion"/>
  </si>
  <si>
    <t>9급 세무(지방세:장애인)</t>
    <phoneticPr fontId="1" type="noConversion"/>
  </si>
  <si>
    <t>9급 세무(지방세:저소득층)</t>
    <phoneticPr fontId="1" type="noConversion"/>
  </si>
  <si>
    <t>9급 일반행정(일반행정:저소득층)</t>
    <phoneticPr fontId="1" type="noConversion"/>
  </si>
  <si>
    <t>9급 전산(전산:일반)</t>
    <phoneticPr fontId="1" type="noConversion"/>
  </si>
  <si>
    <t>9급 전산(데이터:일반)</t>
    <phoneticPr fontId="1" type="noConversion"/>
  </si>
  <si>
    <t>9급 사회복지(사회복지:일반)</t>
    <phoneticPr fontId="1" type="noConversion"/>
  </si>
  <si>
    <t>9급 사회복지(사회복지:장애인)</t>
    <phoneticPr fontId="1" type="noConversion"/>
  </si>
  <si>
    <t>9급 사회복지(사회복지:저소득층)</t>
    <phoneticPr fontId="1" type="noConversion"/>
  </si>
  <si>
    <t>9급 사서(사서:일반)</t>
    <phoneticPr fontId="1" type="noConversion"/>
  </si>
  <si>
    <t>9급 기계(일반기계)</t>
    <phoneticPr fontId="1" type="noConversion"/>
  </si>
  <si>
    <t>9급 공업(기계운전)</t>
    <phoneticPr fontId="1" type="noConversion"/>
  </si>
  <si>
    <t>9급 공업(일반전기)</t>
    <phoneticPr fontId="1" type="noConversion"/>
  </si>
  <si>
    <t>9급 공업(일반화공)</t>
    <phoneticPr fontId="1" type="noConversion"/>
  </si>
  <si>
    <t>9급 농업(일반농업:일반)</t>
    <phoneticPr fontId="1" type="noConversion"/>
  </si>
  <si>
    <t>9급 농업(축산)</t>
    <phoneticPr fontId="1" type="noConversion"/>
  </si>
  <si>
    <t>9급 녹지(산림자원)</t>
    <phoneticPr fontId="1" type="noConversion"/>
  </si>
  <si>
    <t>9급 녹지(조경)</t>
    <phoneticPr fontId="1" type="noConversion"/>
  </si>
  <si>
    <t>9급 해양수산(일반수산)</t>
    <phoneticPr fontId="1" type="noConversion"/>
  </si>
  <si>
    <t>9급 해양수산(선박항해)</t>
    <phoneticPr fontId="1" type="noConversion"/>
  </si>
  <si>
    <t>9급 보건(보건:일반)</t>
    <phoneticPr fontId="1" type="noConversion"/>
  </si>
  <si>
    <t>9급 보건(보건:저소득층)</t>
    <phoneticPr fontId="1" type="noConversion"/>
  </si>
  <si>
    <t>9급 보건(보건:장애인)</t>
    <phoneticPr fontId="1" type="noConversion"/>
  </si>
  <si>
    <t>9급 환경(일반환경)</t>
    <phoneticPr fontId="1" type="noConversion"/>
  </si>
  <si>
    <t>9급 시설(일반토목:장애인)</t>
  </si>
  <si>
    <t>9급 시설(건축:장애인)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</si>
</sst>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-* #,##0_-;\-* #,##0_-;_-* &quot;-&quot;_-;_-@_-"/>
    <numFmt numFmtId="176" formatCode="0_);[Red]\(0\)"/>
    <numFmt numFmtId="177" formatCode="#,##0_);[Red]\(#,##0\)"/>
  </numFmts>
  <fonts count="12" x14ac:knownFonts="1">
    <font>
      <sz val="11"/>
      <color rgb="FF000000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rgb="FF000000"/>
      <name val="맑은 고딕"/>
      <family val="2"/>
      <scheme val="minor"/>
    </font>
    <font>
      <b/>
      <sz val="11"/>
      <name val="맑은 고딕"/>
      <family val="3"/>
      <charset val="129"/>
      <scheme val="major"/>
    </font>
    <font>
      <b/>
      <sz val="12"/>
      <name val="맑은 고딕"/>
      <family val="3"/>
      <charset val="129"/>
      <scheme val="major"/>
    </font>
    <font>
      <sz val="18"/>
      <color rgb="FF000000"/>
      <name val="HY헤드라인M"/>
      <family val="1"/>
      <charset val="129"/>
    </font>
    <font>
      <sz val="10"/>
      <color rgb="FF000000"/>
      <name val="맑은 고딕"/>
      <family val="2"/>
      <scheme val="major"/>
    </font>
    <font>
      <sz val="10"/>
      <color rgb="FF000000"/>
      <name val="맑은 고딕"/>
      <family val="3"/>
      <charset val="129"/>
      <scheme val="major"/>
    </font>
    <font>
      <b/>
      <sz val="11"/>
      <color theme="0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>
      <alignment vertical="center"/>
    </xf>
    <xf numFmtId="41" fontId="2" fillId="0" borderId="0" applyFont="0" applyFill="0" applyBorder="0" applyAlignment="0" applyProtection="0">
      <alignment vertical="center"/>
    </xf>
  </cellStyleXfs>
  <cellXfs count="56">
    <xf numFmtId="0" fontId="0" fillId="0" borderId="0" xfId="0">
      <alignment vertical="center"/>
    </xf>
    <xf numFmtId="0" fontId="5" fillId="0" borderId="0" xfId="0" applyFont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0" fillId="7" borderId="1" xfId="0" applyFill="1" applyBorder="1">
      <alignment vertical="center"/>
    </xf>
    <xf numFmtId="0" fontId="5" fillId="0" borderId="0" xfId="0" applyNumberFormat="1" applyFont="1" applyAlignment="1">
      <alignment horizontal="center" vertical="center"/>
    </xf>
    <xf numFmtId="0" fontId="8" fillId="4" borderId="1" xfId="0" applyNumberFormat="1" applyFont="1" applyFill="1" applyBorder="1" applyAlignment="1">
      <alignment horizontal="center" vertical="center"/>
    </xf>
    <xf numFmtId="0" fontId="3" fillId="3" borderId="1" xfId="0" applyNumberFormat="1" applyFont="1" applyFill="1" applyBorder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9" fillId="2" borderId="1" xfId="0" applyNumberFormat="1" applyFont="1" applyFill="1" applyBorder="1" applyAlignment="1">
      <alignment vertical="center"/>
    </xf>
    <xf numFmtId="0" fontId="9" fillId="2" borderId="1" xfId="0" applyFont="1" applyFill="1" applyBorder="1" applyAlignment="1">
      <alignment horizontal="center" vertical="center"/>
    </xf>
    <xf numFmtId="0" fontId="9" fillId="2" borderId="1" xfId="0" applyNumberFormat="1" applyFont="1" applyFill="1" applyBorder="1" applyAlignment="1">
      <alignment horizontal="right" vertical="center"/>
    </xf>
    <xf numFmtId="41" fontId="9" fillId="5" borderId="1" xfId="1" applyFont="1" applyFill="1" applyBorder="1" applyAlignment="1">
      <alignment horizontal="right" vertical="center"/>
    </xf>
    <xf numFmtId="0" fontId="9" fillId="8" borderId="1" xfId="0" applyNumberFormat="1" applyFont="1" applyFill="1" applyBorder="1" applyAlignment="1">
      <alignment horizontal="right" vertical="center"/>
    </xf>
    <xf numFmtId="0" fontId="9" fillId="8" borderId="1" xfId="0" applyFont="1" applyFill="1" applyBorder="1" applyAlignment="1">
      <alignment horizontal="center" vertical="center"/>
    </xf>
    <xf numFmtId="0" fontId="9" fillId="8" borderId="1" xfId="0" applyNumberFormat="1" applyFont="1" applyFill="1" applyBorder="1" applyAlignment="1">
      <alignment vertical="center"/>
    </xf>
    <xf numFmtId="0" fontId="9" fillId="0" borderId="0" xfId="0" applyFont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right" vertical="center"/>
    </xf>
    <xf numFmtId="41" fontId="10" fillId="3" borderId="1" xfId="1" applyFont="1" applyFill="1" applyBorder="1" applyAlignment="1">
      <alignment horizontal="right" vertical="center"/>
    </xf>
    <xf numFmtId="41" fontId="9" fillId="6" borderId="1" xfId="1" applyFont="1" applyFill="1" applyBorder="1" applyAlignment="1">
      <alignment horizontal="right" vertical="center"/>
    </xf>
    <xf numFmtId="0" fontId="0" fillId="9" borderId="1" xfId="0" applyFill="1" applyBorder="1">
      <alignment vertical="center"/>
    </xf>
    <xf numFmtId="0" fontId="10" fillId="9" borderId="1" xfId="0" applyFont="1" applyFill="1" applyBorder="1" applyAlignment="1">
      <alignment horizontal="center" vertical="center"/>
    </xf>
    <xf numFmtId="41" fontId="10" fillId="9" borderId="1" xfId="1" applyFont="1" applyFill="1" applyBorder="1" applyAlignment="1">
      <alignment horizontal="right" vertical="center"/>
    </xf>
    <xf numFmtId="0" fontId="3" fillId="9" borderId="1" xfId="0" applyNumberFormat="1" applyFont="1" applyFill="1" applyBorder="1" applyAlignment="1">
      <alignment horizontal="center" vertical="center"/>
    </xf>
    <xf numFmtId="0" fontId="3" fillId="5" borderId="1" xfId="0" applyNumberFormat="1" applyFont="1" applyFill="1" applyBorder="1" applyAlignment="1">
      <alignment horizontal="center" vertical="center"/>
    </xf>
    <xf numFmtId="0" fontId="3" fillId="8" borderId="1" xfId="0" applyNumberFormat="1" applyFont="1" applyFill="1" applyBorder="1" applyAlignment="1">
      <alignment horizontal="center" vertical="center"/>
    </xf>
    <xf numFmtId="0" fontId="10" fillId="5" borderId="1" xfId="0" applyNumberFormat="1" applyFont="1" applyFill="1" applyBorder="1" applyAlignment="1">
      <alignment horizontal="center" vertical="center"/>
    </xf>
    <xf numFmtId="0" fontId="10" fillId="8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9" fillId="0" borderId="1" xfId="0" applyNumberFormat="1" applyFont="1" applyFill="1" applyBorder="1" applyAlignment="1">
      <alignment vertical="center"/>
    </xf>
    <xf numFmtId="41" fontId="0" fillId="0" borderId="0" xfId="0" applyNumberFormat="1">
      <alignment vertical="center"/>
    </xf>
    <xf numFmtId="0" fontId="9" fillId="2" borderId="1" xfId="0" applyFont="1" applyFill="1" applyBorder="1" applyAlignment="1">
      <alignment horizontal="center" vertical="center"/>
    </xf>
    <xf numFmtId="0" fontId="9" fillId="5" borderId="3" xfId="0" applyFont="1" applyFill="1" applyBorder="1" applyAlignment="1">
      <alignment horizontal="center" vertical="center"/>
    </xf>
    <xf numFmtId="0" fontId="9" fillId="5" borderId="4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right" vertical="center"/>
    </xf>
    <xf numFmtId="0" fontId="7" fillId="0" borderId="2" xfId="0" applyFont="1" applyBorder="1" applyAlignment="1">
      <alignment horizontal="right" vertical="center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176" fontId="9" fillId="5" borderId="1" xfId="1" applyNumberFormat="1" applyFont="1" applyFill="1" applyBorder="1" applyAlignment="1">
      <alignment horizontal="right" vertical="center"/>
    </xf>
    <xf numFmtId="176" fontId="11" fillId="2" borderId="1" xfId="0" applyNumberFormat="1" applyFont="1" applyFill="1" applyBorder="1" applyAlignment="1">
      <alignment vertical="center"/>
    </xf>
    <xf numFmtId="176" fontId="9" fillId="2" borderId="1" xfId="0" applyNumberFormat="1" applyFont="1" applyFill="1" applyBorder="1" applyAlignment="1">
      <alignment horizontal="right" vertical="center"/>
    </xf>
    <xf numFmtId="176" fontId="9" fillId="6" borderId="1" xfId="1" applyNumberFormat="1" applyFont="1" applyFill="1" applyBorder="1" applyAlignment="1">
      <alignment horizontal="right" vertical="center"/>
    </xf>
    <xf numFmtId="176" fontId="9" fillId="8" borderId="1" xfId="0" applyNumberFormat="1" applyFont="1" applyFill="1" applyBorder="1" applyAlignment="1">
      <alignment horizontal="right" vertical="center"/>
    </xf>
    <xf numFmtId="177" fontId="10" fillId="3" borderId="1" xfId="1" applyNumberFormat="1" applyFont="1" applyFill="1" applyBorder="1" applyAlignment="1">
      <alignment horizontal="right" vertical="center"/>
    </xf>
    <xf numFmtId="177" fontId="10" fillId="9" borderId="1" xfId="1" applyNumberFormat="1" applyFont="1" applyFill="1" applyBorder="1" applyAlignment="1">
      <alignment horizontal="right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380"/>
  <sheetViews>
    <sheetView tabSelected="1" view="pageBreakPreview" zoomScale="60" zoomScaleNormal="70" workbookViewId="0">
      <pane ySplit="5" topLeftCell="A6" activePane="bottomLeft" state="frozen"/>
      <selection pane="bottomLeft" activeCell="A2" sqref="A2:F2"/>
    </sheetView>
  </sheetViews>
  <sheetFormatPr defaultRowHeight="16.5" x14ac:dyDescent="0.3"/>
  <cols>
    <col min="1" max="1" width="13.5" customWidth="1"/>
    <col min="2" max="2" width="30.875" style="16" bestFit="1" customWidth="1"/>
    <col min="3" max="3" width="12.5" style="16" customWidth="1"/>
    <col min="4" max="4" width="15" style="22" customWidth="1"/>
    <col min="5" max="5" width="16.125" style="22" customWidth="1"/>
    <col min="6" max="6" width="15.5" style="8" customWidth="1"/>
  </cols>
  <sheetData>
    <row r="2" spans="1:6" ht="36" customHeight="1" x14ac:dyDescent="0.3">
      <c r="A2" s="43" t="s">
        <v>39</v>
      </c>
      <c r="B2" s="43"/>
      <c r="C2" s="43"/>
      <c r="D2" s="43"/>
      <c r="E2" s="43"/>
      <c r="F2" s="43"/>
    </row>
    <row r="3" spans="1:6" ht="22.5" x14ac:dyDescent="0.3">
      <c r="A3" s="1"/>
      <c r="F3" s="5"/>
    </row>
    <row r="4" spans="1:6" x14ac:dyDescent="0.3">
      <c r="E4" s="44" t="s">
        <v>54</v>
      </c>
      <c r="F4" s="45"/>
    </row>
    <row r="5" spans="1:6" ht="21.95" customHeight="1" x14ac:dyDescent="0.3">
      <c r="A5" s="2" t="s">
        <v>34</v>
      </c>
      <c r="B5" s="17" t="s">
        <v>38</v>
      </c>
      <c r="C5" s="17" t="s">
        <v>0</v>
      </c>
      <c r="D5" s="17" t="s">
        <v>1</v>
      </c>
      <c r="E5" s="17" t="s">
        <v>2</v>
      </c>
      <c r="F5" s="6" t="s">
        <v>33</v>
      </c>
    </row>
    <row r="6" spans="1:6" ht="21.95" customHeight="1" x14ac:dyDescent="0.3">
      <c r="A6" s="3"/>
      <c r="B6" s="18"/>
      <c r="C6" s="18" t="s">
        <v>35</v>
      </c>
      <c r="D6" s="23">
        <f>D7+D341</f>
        <v>1069</v>
      </c>
      <c r="E6" s="54">
        <f>E7+E341</f>
        <v>7299</v>
      </c>
      <c r="F6" s="7" t="str">
        <f>ROUND(E6/D6,1)&amp;":1"</f>
        <v>6.8:1</v>
      </c>
    </row>
    <row r="7" spans="1:6" ht="21.95" customHeight="1" x14ac:dyDescent="0.3">
      <c r="A7" s="25"/>
      <c r="B7" s="26" t="s">
        <v>40</v>
      </c>
      <c r="C7" s="26" t="s">
        <v>36</v>
      </c>
      <c r="D7" s="27">
        <f>SUM(D8,D20,D33,D59,D75,D92,D104,D106,D108,D115,D119,D133,D143,D146,D154,D166,D168,D175,D181,D197,D209,D221,D225,D230,D235,D250,D252,D254,D269,D284,D286,D301,D303,D316,D319,D324,D339)</f>
        <v>1002</v>
      </c>
      <c r="E7" s="55">
        <f>SUM(E8,E20,E33,E59,E75,E92,E104,E106,E108,E115,E119,E133,E143,E146,E154,E166,E168,E175,E181,E197,E209,E221,E225,E230,E235,E250,E252,E254,E269,E284,E286,E301,E303,E316,E319,E324,E339)</f>
        <v>6848</v>
      </c>
      <c r="F7" s="28" t="str">
        <f t="shared" ref="F7:F70" si="0">ROUND(E7/D7,1)&amp;":1"</f>
        <v>6.8:1</v>
      </c>
    </row>
    <row r="8" spans="1:6" ht="21.95" customHeight="1" x14ac:dyDescent="0.3">
      <c r="A8" s="46" t="s">
        <v>56</v>
      </c>
      <c r="B8" s="41" t="s">
        <v>32</v>
      </c>
      <c r="C8" s="41"/>
      <c r="D8" s="12">
        <f>SUM(D9:D19)</f>
        <v>35</v>
      </c>
      <c r="E8" s="49">
        <f>SUM(E9:E19)</f>
        <v>376</v>
      </c>
      <c r="F8" s="29" t="str">
        <f t="shared" si="0"/>
        <v>10.7:1</v>
      </c>
    </row>
    <row r="9" spans="1:6" ht="21.95" customHeight="1" x14ac:dyDescent="0.3">
      <c r="A9" s="47"/>
      <c r="B9" s="36" t="s">
        <v>57</v>
      </c>
      <c r="C9" s="10" t="s">
        <v>3</v>
      </c>
      <c r="D9" s="9">
        <v>6</v>
      </c>
      <c r="E9" s="50">
        <v>107</v>
      </c>
      <c r="F9" s="30" t="str">
        <f t="shared" si="0"/>
        <v>17.8:1</v>
      </c>
    </row>
    <row r="10" spans="1:6" ht="21.95" customHeight="1" x14ac:dyDescent="0.3">
      <c r="A10" s="47"/>
      <c r="B10" s="36"/>
      <c r="C10" s="10" t="s">
        <v>4</v>
      </c>
      <c r="D10" s="9">
        <v>2</v>
      </c>
      <c r="E10" s="50">
        <v>20</v>
      </c>
      <c r="F10" s="30" t="str">
        <f t="shared" si="0"/>
        <v>10:1</v>
      </c>
    </row>
    <row r="11" spans="1:6" ht="21.95" customHeight="1" x14ac:dyDescent="0.3">
      <c r="A11" s="47"/>
      <c r="B11" s="36"/>
      <c r="C11" s="10" t="s">
        <v>14</v>
      </c>
      <c r="D11" s="9">
        <v>1</v>
      </c>
      <c r="E11" s="50">
        <v>19</v>
      </c>
      <c r="F11" s="30" t="str">
        <f t="shared" si="0"/>
        <v>19:1</v>
      </c>
    </row>
    <row r="12" spans="1:6" ht="21.95" customHeight="1" x14ac:dyDescent="0.3">
      <c r="A12" s="47"/>
      <c r="B12" s="36"/>
      <c r="C12" s="10" t="s">
        <v>5</v>
      </c>
      <c r="D12" s="9">
        <v>1</v>
      </c>
      <c r="E12" s="50">
        <v>11</v>
      </c>
      <c r="F12" s="30" t="str">
        <f t="shared" si="0"/>
        <v>11:1</v>
      </c>
    </row>
    <row r="13" spans="1:6" ht="21.95" customHeight="1" x14ac:dyDescent="0.3">
      <c r="A13" s="47"/>
      <c r="B13" s="36"/>
      <c r="C13" s="10" t="s">
        <v>15</v>
      </c>
      <c r="D13" s="9">
        <v>1</v>
      </c>
      <c r="E13" s="50">
        <v>8</v>
      </c>
      <c r="F13" s="30" t="str">
        <f>ROUND(E13/D13,1)&amp;":1"</f>
        <v>8:1</v>
      </c>
    </row>
    <row r="14" spans="1:6" ht="21.95" customHeight="1" x14ac:dyDescent="0.3">
      <c r="A14" s="47"/>
      <c r="B14" s="36"/>
      <c r="C14" s="10" t="s">
        <v>16</v>
      </c>
      <c r="D14" s="9">
        <v>4</v>
      </c>
      <c r="E14" s="50">
        <v>56</v>
      </c>
      <c r="F14" s="30" t="str">
        <f t="shared" si="0"/>
        <v>14:1</v>
      </c>
    </row>
    <row r="15" spans="1:6" ht="21.95" customHeight="1" x14ac:dyDescent="0.3">
      <c r="A15" s="47"/>
      <c r="B15" s="36"/>
      <c r="C15" s="10" t="s">
        <v>7</v>
      </c>
      <c r="D15" s="9">
        <v>4</v>
      </c>
      <c r="E15" s="50">
        <v>29</v>
      </c>
      <c r="F15" s="30" t="str">
        <f t="shared" si="0"/>
        <v>7.3:1</v>
      </c>
    </row>
    <row r="16" spans="1:6" ht="21.95" customHeight="1" x14ac:dyDescent="0.3">
      <c r="A16" s="47"/>
      <c r="B16" s="36"/>
      <c r="C16" s="10" t="s">
        <v>8</v>
      </c>
      <c r="D16" s="9">
        <v>3</v>
      </c>
      <c r="E16" s="50">
        <v>17</v>
      </c>
      <c r="F16" s="30" t="str">
        <f t="shared" si="0"/>
        <v>5.7:1</v>
      </c>
    </row>
    <row r="17" spans="1:6" ht="21.95" customHeight="1" x14ac:dyDescent="0.3">
      <c r="A17" s="47"/>
      <c r="B17" s="36"/>
      <c r="C17" s="10" t="s">
        <v>17</v>
      </c>
      <c r="D17" s="9">
        <v>3</v>
      </c>
      <c r="E17" s="50">
        <v>26</v>
      </c>
      <c r="F17" s="30" t="str">
        <f t="shared" si="0"/>
        <v>8.7:1</v>
      </c>
    </row>
    <row r="18" spans="1:6" ht="21.95" customHeight="1" x14ac:dyDescent="0.3">
      <c r="A18" s="47"/>
      <c r="B18" s="36"/>
      <c r="C18" s="10" t="s">
        <v>9</v>
      </c>
      <c r="D18" s="9">
        <v>5</v>
      </c>
      <c r="E18" s="50">
        <v>46</v>
      </c>
      <c r="F18" s="30" t="str">
        <f t="shared" si="0"/>
        <v>9.2:1</v>
      </c>
    </row>
    <row r="19" spans="1:6" ht="21.95" customHeight="1" x14ac:dyDescent="0.3">
      <c r="A19" s="47"/>
      <c r="B19" s="36"/>
      <c r="C19" s="10" t="s">
        <v>10</v>
      </c>
      <c r="D19" s="9">
        <v>5</v>
      </c>
      <c r="E19" s="50">
        <v>37</v>
      </c>
      <c r="F19" s="30" t="str">
        <f t="shared" si="0"/>
        <v>7.4:1</v>
      </c>
    </row>
    <row r="20" spans="1:6" ht="21.95" customHeight="1" x14ac:dyDescent="0.3">
      <c r="A20" s="47"/>
      <c r="B20" s="41" t="s">
        <v>32</v>
      </c>
      <c r="C20" s="41"/>
      <c r="D20" s="12">
        <f>SUM(D21:D32)</f>
        <v>26</v>
      </c>
      <c r="E20" s="49">
        <f>SUM(E21:E32)</f>
        <v>251</v>
      </c>
      <c r="F20" s="29" t="str">
        <f t="shared" si="0"/>
        <v>9.7:1</v>
      </c>
    </row>
    <row r="21" spans="1:6" ht="21.95" customHeight="1" x14ac:dyDescent="0.3">
      <c r="A21" s="47"/>
      <c r="B21" s="36" t="s">
        <v>58</v>
      </c>
      <c r="C21" s="10" t="s">
        <v>3</v>
      </c>
      <c r="D21" s="9">
        <v>1</v>
      </c>
      <c r="E21" s="51">
        <v>9</v>
      </c>
      <c r="F21" s="30" t="str">
        <f t="shared" si="0"/>
        <v>9:1</v>
      </c>
    </row>
    <row r="22" spans="1:6" ht="21.95" customHeight="1" x14ac:dyDescent="0.3">
      <c r="A22" s="47"/>
      <c r="B22" s="36"/>
      <c r="C22" s="10" t="s">
        <v>12</v>
      </c>
      <c r="D22" s="9">
        <v>3</v>
      </c>
      <c r="E22" s="51">
        <v>40</v>
      </c>
      <c r="F22" s="30" t="str">
        <f t="shared" si="0"/>
        <v>13.3:1</v>
      </c>
    </row>
    <row r="23" spans="1:6" ht="21.95" customHeight="1" x14ac:dyDescent="0.3">
      <c r="A23" s="47"/>
      <c r="B23" s="36"/>
      <c r="C23" s="10" t="s">
        <v>13</v>
      </c>
      <c r="D23" s="9">
        <v>2</v>
      </c>
      <c r="E23" s="51">
        <v>12</v>
      </c>
      <c r="F23" s="30" t="str">
        <f t="shared" si="0"/>
        <v>6:1</v>
      </c>
    </row>
    <row r="24" spans="1:6" ht="21.95" customHeight="1" x14ac:dyDescent="0.3">
      <c r="A24" s="47"/>
      <c r="B24" s="36"/>
      <c r="C24" s="10" t="s">
        <v>4</v>
      </c>
      <c r="D24" s="9">
        <v>3</v>
      </c>
      <c r="E24" s="51">
        <v>37</v>
      </c>
      <c r="F24" s="30" t="str">
        <f t="shared" si="0"/>
        <v>12.3:1</v>
      </c>
    </row>
    <row r="25" spans="1:6" ht="21.95" customHeight="1" x14ac:dyDescent="0.3">
      <c r="A25" s="47"/>
      <c r="B25" s="36"/>
      <c r="C25" s="10" t="s">
        <v>5</v>
      </c>
      <c r="D25" s="9">
        <v>2</v>
      </c>
      <c r="E25" s="51">
        <v>10</v>
      </c>
      <c r="F25" s="30" t="str">
        <f t="shared" si="0"/>
        <v>5:1</v>
      </c>
    </row>
    <row r="26" spans="1:6" ht="21.95" customHeight="1" x14ac:dyDescent="0.3">
      <c r="A26" s="47"/>
      <c r="B26" s="36"/>
      <c r="C26" s="10" t="s">
        <v>16</v>
      </c>
      <c r="D26" s="9">
        <v>1</v>
      </c>
      <c r="E26" s="51">
        <v>14</v>
      </c>
      <c r="F26" s="30" t="str">
        <f t="shared" si="0"/>
        <v>14:1</v>
      </c>
    </row>
    <row r="27" spans="1:6" ht="21.95" customHeight="1" x14ac:dyDescent="0.3">
      <c r="A27" s="47"/>
      <c r="B27" s="36"/>
      <c r="C27" s="10" t="s">
        <v>6</v>
      </c>
      <c r="D27" s="9">
        <v>2</v>
      </c>
      <c r="E27" s="51">
        <v>16</v>
      </c>
      <c r="F27" s="30" t="str">
        <f t="shared" si="0"/>
        <v>8:1</v>
      </c>
    </row>
    <row r="28" spans="1:6" ht="21.95" customHeight="1" x14ac:dyDescent="0.3">
      <c r="A28" s="47"/>
      <c r="B28" s="36"/>
      <c r="C28" s="10" t="s">
        <v>7</v>
      </c>
      <c r="D28" s="9">
        <v>4</v>
      </c>
      <c r="E28" s="51">
        <v>34</v>
      </c>
      <c r="F28" s="30" t="str">
        <f t="shared" si="0"/>
        <v>8.5:1</v>
      </c>
    </row>
    <row r="29" spans="1:6" ht="21.95" customHeight="1" x14ac:dyDescent="0.3">
      <c r="A29" s="47"/>
      <c r="B29" s="36"/>
      <c r="C29" s="10" t="s">
        <v>17</v>
      </c>
      <c r="D29" s="9">
        <v>4</v>
      </c>
      <c r="E29" s="51">
        <v>35</v>
      </c>
      <c r="F29" s="30" t="str">
        <f t="shared" si="0"/>
        <v>8.8:1</v>
      </c>
    </row>
    <row r="30" spans="1:6" ht="21.95" customHeight="1" x14ac:dyDescent="0.3">
      <c r="A30" s="47"/>
      <c r="B30" s="36"/>
      <c r="C30" s="10" t="s">
        <v>18</v>
      </c>
      <c r="D30" s="9">
        <v>2</v>
      </c>
      <c r="E30" s="51">
        <v>31</v>
      </c>
      <c r="F30" s="30" t="str">
        <f t="shared" si="0"/>
        <v>15.5:1</v>
      </c>
    </row>
    <row r="31" spans="1:6" ht="21.95" customHeight="1" x14ac:dyDescent="0.3">
      <c r="A31" s="47"/>
      <c r="B31" s="36"/>
      <c r="C31" s="10" t="s">
        <v>9</v>
      </c>
      <c r="D31" s="9">
        <v>1</v>
      </c>
      <c r="E31" s="51">
        <v>4</v>
      </c>
      <c r="F31" s="30" t="str">
        <f t="shared" si="0"/>
        <v>4:1</v>
      </c>
    </row>
    <row r="32" spans="1:6" ht="21.95" customHeight="1" x14ac:dyDescent="0.3">
      <c r="A32" s="47"/>
      <c r="B32" s="36"/>
      <c r="C32" s="10" t="s">
        <v>10</v>
      </c>
      <c r="D32" s="9">
        <v>1</v>
      </c>
      <c r="E32" s="51">
        <v>9</v>
      </c>
      <c r="F32" s="30" t="str">
        <f t="shared" si="0"/>
        <v>9:1</v>
      </c>
    </row>
    <row r="33" spans="1:9" ht="21.95" customHeight="1" x14ac:dyDescent="0.3">
      <c r="A33" s="47"/>
      <c r="B33" s="41" t="s">
        <v>32</v>
      </c>
      <c r="C33" s="41"/>
      <c r="D33" s="12">
        <f>SUM(D34:D58)</f>
        <v>373</v>
      </c>
      <c r="E33" s="49">
        <f>SUM(E34:E58)</f>
        <v>3207</v>
      </c>
      <c r="F33" s="29" t="str">
        <f t="shared" si="0"/>
        <v>8.6:1</v>
      </c>
      <c r="I33" s="35"/>
    </row>
    <row r="34" spans="1:9" ht="21.95" customHeight="1" x14ac:dyDescent="0.3">
      <c r="A34" s="47"/>
      <c r="B34" s="36" t="s">
        <v>62</v>
      </c>
      <c r="C34" s="10" t="s">
        <v>11</v>
      </c>
      <c r="D34" s="15">
        <v>45</v>
      </c>
      <c r="E34" s="50">
        <v>403</v>
      </c>
      <c r="F34" s="30" t="str">
        <f t="shared" si="0"/>
        <v>9:1</v>
      </c>
    </row>
    <row r="35" spans="1:9" ht="21.95" customHeight="1" x14ac:dyDescent="0.3">
      <c r="A35" s="47"/>
      <c r="B35" s="36"/>
      <c r="C35" s="10" t="s">
        <v>3</v>
      </c>
      <c r="D35" s="15">
        <v>30</v>
      </c>
      <c r="E35" s="50">
        <v>532</v>
      </c>
      <c r="F35" s="30" t="str">
        <f t="shared" si="0"/>
        <v>17.7:1</v>
      </c>
    </row>
    <row r="36" spans="1:9" ht="21.95" customHeight="1" x14ac:dyDescent="0.3">
      <c r="A36" s="47"/>
      <c r="B36" s="36"/>
      <c r="C36" s="10" t="s">
        <v>12</v>
      </c>
      <c r="D36" s="15">
        <v>31</v>
      </c>
      <c r="E36" s="50">
        <v>188</v>
      </c>
      <c r="F36" s="30" t="str">
        <f t="shared" si="0"/>
        <v>6.1:1</v>
      </c>
    </row>
    <row r="37" spans="1:9" ht="21.95" customHeight="1" x14ac:dyDescent="0.3">
      <c r="A37" s="47"/>
      <c r="B37" s="36"/>
      <c r="C37" s="10" t="s">
        <v>13</v>
      </c>
      <c r="D37" s="15">
        <v>20</v>
      </c>
      <c r="E37" s="50">
        <v>183</v>
      </c>
      <c r="F37" s="30" t="str">
        <f t="shared" si="0"/>
        <v>9.2:1</v>
      </c>
    </row>
    <row r="38" spans="1:9" ht="21.95" customHeight="1" x14ac:dyDescent="0.3">
      <c r="A38" s="47"/>
      <c r="B38" s="36"/>
      <c r="C38" s="10" t="s">
        <v>4</v>
      </c>
      <c r="D38" s="15">
        <v>33</v>
      </c>
      <c r="E38" s="50">
        <v>259</v>
      </c>
      <c r="F38" s="30" t="str">
        <f t="shared" si="0"/>
        <v>7.8:1</v>
      </c>
    </row>
    <row r="39" spans="1:9" ht="21.95" customHeight="1" x14ac:dyDescent="0.3">
      <c r="A39" s="47"/>
      <c r="B39" s="36"/>
      <c r="C39" s="10" t="s">
        <v>14</v>
      </c>
      <c r="D39" s="15">
        <v>18</v>
      </c>
      <c r="E39" s="50">
        <v>143</v>
      </c>
      <c r="F39" s="30" t="str">
        <f t="shared" si="0"/>
        <v>7.9:1</v>
      </c>
    </row>
    <row r="40" spans="1:9" ht="21.95" customHeight="1" x14ac:dyDescent="0.3">
      <c r="A40" s="47"/>
      <c r="B40" s="36"/>
      <c r="C40" s="10" t="s">
        <v>5</v>
      </c>
      <c r="D40" s="15">
        <v>16</v>
      </c>
      <c r="E40" s="50">
        <v>123</v>
      </c>
      <c r="F40" s="30" t="str">
        <f t="shared" si="0"/>
        <v>7.7:1</v>
      </c>
    </row>
    <row r="41" spans="1:9" ht="21.95" customHeight="1" x14ac:dyDescent="0.3">
      <c r="A41" s="47"/>
      <c r="B41" s="36"/>
      <c r="C41" s="10" t="s">
        <v>15</v>
      </c>
      <c r="D41" s="15">
        <v>11</v>
      </c>
      <c r="E41" s="50">
        <v>82</v>
      </c>
      <c r="F41" s="30" t="str">
        <f t="shared" si="0"/>
        <v>7.5:1</v>
      </c>
    </row>
    <row r="42" spans="1:9" ht="21.95" customHeight="1" x14ac:dyDescent="0.3">
      <c r="A42" s="47"/>
      <c r="B42" s="36"/>
      <c r="C42" s="10" t="s">
        <v>16</v>
      </c>
      <c r="D42" s="15">
        <v>60</v>
      </c>
      <c r="E42" s="50">
        <v>445</v>
      </c>
      <c r="F42" s="30" t="str">
        <f t="shared" si="0"/>
        <v>7.4:1</v>
      </c>
    </row>
    <row r="43" spans="1:9" ht="21.95" customHeight="1" x14ac:dyDescent="0.3">
      <c r="A43" s="47"/>
      <c r="B43" s="36"/>
      <c r="C43" s="10" t="s">
        <v>6</v>
      </c>
      <c r="D43" s="15">
        <v>10</v>
      </c>
      <c r="E43" s="50">
        <v>74</v>
      </c>
      <c r="F43" s="30" t="str">
        <f t="shared" si="0"/>
        <v>7.4:1</v>
      </c>
    </row>
    <row r="44" spans="1:9" ht="21.95" customHeight="1" x14ac:dyDescent="0.3">
      <c r="A44" s="47"/>
      <c r="B44" s="36"/>
      <c r="C44" s="10" t="s">
        <v>7</v>
      </c>
      <c r="D44" s="15">
        <v>10</v>
      </c>
      <c r="E44" s="50">
        <v>94</v>
      </c>
      <c r="F44" s="30" t="str">
        <f t="shared" si="0"/>
        <v>9.4:1</v>
      </c>
    </row>
    <row r="45" spans="1:9" ht="21.95" customHeight="1" x14ac:dyDescent="0.3">
      <c r="A45" s="47"/>
      <c r="B45" s="36"/>
      <c r="C45" s="10" t="s">
        <v>8</v>
      </c>
      <c r="D45" s="15">
        <v>15</v>
      </c>
      <c r="E45" s="50">
        <v>111</v>
      </c>
      <c r="F45" s="30" t="str">
        <f t="shared" si="0"/>
        <v>7.4:1</v>
      </c>
    </row>
    <row r="46" spans="1:9" ht="21.95" customHeight="1" x14ac:dyDescent="0.3">
      <c r="A46" s="47"/>
      <c r="B46" s="36"/>
      <c r="C46" s="10" t="s">
        <v>17</v>
      </c>
      <c r="D46" s="15">
        <v>13</v>
      </c>
      <c r="E46" s="50">
        <v>73</v>
      </c>
      <c r="F46" s="30" t="str">
        <f t="shared" si="0"/>
        <v>5.6:1</v>
      </c>
    </row>
    <row r="47" spans="1:9" ht="21.95" customHeight="1" x14ac:dyDescent="0.3">
      <c r="A47" s="47"/>
      <c r="B47" s="36"/>
      <c r="C47" s="10" t="s">
        <v>18</v>
      </c>
      <c r="D47" s="15">
        <v>8</v>
      </c>
      <c r="E47" s="50">
        <v>105</v>
      </c>
      <c r="F47" s="30" t="str">
        <f t="shared" si="0"/>
        <v>13.1:1</v>
      </c>
    </row>
    <row r="48" spans="1:9" ht="21.95" customHeight="1" x14ac:dyDescent="0.3">
      <c r="A48" s="47"/>
      <c r="B48" s="36"/>
      <c r="C48" s="10" t="s">
        <v>9</v>
      </c>
      <c r="D48" s="15">
        <v>16</v>
      </c>
      <c r="E48" s="50">
        <v>124</v>
      </c>
      <c r="F48" s="30" t="str">
        <f t="shared" si="0"/>
        <v>7.8:1</v>
      </c>
    </row>
    <row r="49" spans="1:6" ht="21.95" customHeight="1" x14ac:dyDescent="0.3">
      <c r="A49" s="47"/>
      <c r="B49" s="36"/>
      <c r="C49" s="10" t="s">
        <v>10</v>
      </c>
      <c r="D49" s="15">
        <v>18</v>
      </c>
      <c r="E49" s="50">
        <v>80</v>
      </c>
      <c r="F49" s="30" t="str">
        <f t="shared" si="0"/>
        <v>4.4:1</v>
      </c>
    </row>
    <row r="50" spans="1:6" ht="21.95" customHeight="1" x14ac:dyDescent="0.3">
      <c r="A50" s="47"/>
      <c r="B50" s="36"/>
      <c r="C50" s="10" t="s">
        <v>19</v>
      </c>
      <c r="D50" s="15">
        <v>1</v>
      </c>
      <c r="E50" s="50">
        <v>30</v>
      </c>
      <c r="F50" s="30" t="str">
        <f t="shared" si="0"/>
        <v>30:1</v>
      </c>
    </row>
    <row r="51" spans="1:6" ht="21.95" customHeight="1" x14ac:dyDescent="0.3">
      <c r="A51" s="47"/>
      <c r="B51" s="36"/>
      <c r="C51" s="10" t="s">
        <v>61</v>
      </c>
      <c r="D51" s="15">
        <v>1</v>
      </c>
      <c r="E51" s="50">
        <v>12</v>
      </c>
      <c r="F51" s="30" t="str">
        <f t="shared" si="0"/>
        <v>12:1</v>
      </c>
    </row>
    <row r="52" spans="1:6" ht="21.95" customHeight="1" x14ac:dyDescent="0.3">
      <c r="A52" s="47"/>
      <c r="B52" s="36"/>
      <c r="C52" s="10" t="s">
        <v>60</v>
      </c>
      <c r="D52" s="15">
        <v>5</v>
      </c>
      <c r="E52" s="50">
        <v>47</v>
      </c>
      <c r="F52" s="30" t="str">
        <f t="shared" si="0"/>
        <v>9.4:1</v>
      </c>
    </row>
    <row r="53" spans="1:6" ht="21.95" customHeight="1" x14ac:dyDescent="0.3">
      <c r="A53" s="47"/>
      <c r="B53" s="36"/>
      <c r="C53" s="10" t="s">
        <v>21</v>
      </c>
      <c r="D53" s="15">
        <v>3</v>
      </c>
      <c r="E53" s="50">
        <v>19</v>
      </c>
      <c r="F53" s="30" t="str">
        <f t="shared" si="0"/>
        <v>6.3:1</v>
      </c>
    </row>
    <row r="54" spans="1:6" ht="21.95" customHeight="1" x14ac:dyDescent="0.3">
      <c r="A54" s="47"/>
      <c r="B54" s="36"/>
      <c r="C54" s="10" t="s">
        <v>45</v>
      </c>
      <c r="D54" s="15">
        <v>2</v>
      </c>
      <c r="E54" s="50">
        <v>13</v>
      </c>
      <c r="F54" s="30" t="str">
        <f t="shared" si="0"/>
        <v>6.5:1</v>
      </c>
    </row>
    <row r="55" spans="1:6" ht="21.95" customHeight="1" x14ac:dyDescent="0.3">
      <c r="A55" s="47"/>
      <c r="B55" s="36"/>
      <c r="C55" s="10" t="s">
        <v>59</v>
      </c>
      <c r="D55" s="15">
        <v>1</v>
      </c>
      <c r="E55" s="50">
        <v>9</v>
      </c>
      <c r="F55" s="30" t="str">
        <f t="shared" si="0"/>
        <v>9:1</v>
      </c>
    </row>
    <row r="56" spans="1:6" ht="21.95" customHeight="1" x14ac:dyDescent="0.3">
      <c r="A56" s="47"/>
      <c r="B56" s="36"/>
      <c r="C56" s="10" t="s">
        <v>22</v>
      </c>
      <c r="D56" s="15">
        <v>2</v>
      </c>
      <c r="E56" s="50">
        <v>19</v>
      </c>
      <c r="F56" s="30" t="str">
        <f t="shared" si="0"/>
        <v>9.5:1</v>
      </c>
    </row>
    <row r="57" spans="1:6" ht="21.95" customHeight="1" x14ac:dyDescent="0.3">
      <c r="A57" s="47"/>
      <c r="B57" s="36"/>
      <c r="C57" s="10" t="s">
        <v>23</v>
      </c>
      <c r="D57" s="15">
        <v>2</v>
      </c>
      <c r="E57" s="50">
        <v>23</v>
      </c>
      <c r="F57" s="30" t="str">
        <f t="shared" si="0"/>
        <v>11.5:1</v>
      </c>
    </row>
    <row r="58" spans="1:6" ht="21.95" customHeight="1" x14ac:dyDescent="0.3">
      <c r="A58" s="47"/>
      <c r="B58" s="36"/>
      <c r="C58" s="10" t="s">
        <v>24</v>
      </c>
      <c r="D58" s="15">
        <v>2</v>
      </c>
      <c r="E58" s="50">
        <v>16</v>
      </c>
      <c r="F58" s="30" t="str">
        <f t="shared" si="0"/>
        <v>8:1</v>
      </c>
    </row>
    <row r="59" spans="1:6" ht="21.95" customHeight="1" x14ac:dyDescent="0.3">
      <c r="A59" s="47"/>
      <c r="B59" s="41" t="s">
        <v>32</v>
      </c>
      <c r="C59" s="41"/>
      <c r="D59" s="12">
        <f>SUM(D60:D74)</f>
        <v>58</v>
      </c>
      <c r="E59" s="49">
        <f>SUM(E60:E74)</f>
        <v>69</v>
      </c>
      <c r="F59" s="29" t="str">
        <f t="shared" si="0"/>
        <v>1.2:1</v>
      </c>
    </row>
    <row r="60" spans="1:6" ht="21.95" customHeight="1" x14ac:dyDescent="0.3">
      <c r="A60" s="47"/>
      <c r="B60" s="36" t="s">
        <v>63</v>
      </c>
      <c r="C60" s="10" t="s">
        <v>11</v>
      </c>
      <c r="D60" s="9">
        <v>9</v>
      </c>
      <c r="E60" s="50">
        <v>12</v>
      </c>
      <c r="F60" s="30" t="str">
        <f t="shared" si="0"/>
        <v>1.3:1</v>
      </c>
    </row>
    <row r="61" spans="1:6" ht="21.95" customHeight="1" x14ac:dyDescent="0.3">
      <c r="A61" s="47"/>
      <c r="B61" s="36"/>
      <c r="C61" s="10" t="s">
        <v>3</v>
      </c>
      <c r="D61" s="9">
        <v>5</v>
      </c>
      <c r="E61" s="50">
        <v>15</v>
      </c>
      <c r="F61" s="30" t="str">
        <f t="shared" si="0"/>
        <v>3:1</v>
      </c>
    </row>
    <row r="62" spans="1:6" ht="21.95" customHeight="1" x14ac:dyDescent="0.3">
      <c r="A62" s="47"/>
      <c r="B62" s="36"/>
      <c r="C62" s="10" t="s">
        <v>12</v>
      </c>
      <c r="D62" s="9">
        <v>4</v>
      </c>
      <c r="E62" s="50">
        <v>6</v>
      </c>
      <c r="F62" s="30" t="str">
        <f t="shared" si="0"/>
        <v>1.5:1</v>
      </c>
    </row>
    <row r="63" spans="1:6" ht="21.95" customHeight="1" x14ac:dyDescent="0.3">
      <c r="A63" s="47"/>
      <c r="B63" s="36"/>
      <c r="C63" s="10" t="s">
        <v>13</v>
      </c>
      <c r="D63" s="9">
        <v>2</v>
      </c>
      <c r="E63" s="50">
        <v>2</v>
      </c>
      <c r="F63" s="30" t="str">
        <f t="shared" si="0"/>
        <v>1:1</v>
      </c>
    </row>
    <row r="64" spans="1:6" ht="21.95" customHeight="1" x14ac:dyDescent="0.3">
      <c r="A64" s="47"/>
      <c r="B64" s="36"/>
      <c r="C64" s="10" t="s">
        <v>4</v>
      </c>
      <c r="D64" s="9">
        <v>4</v>
      </c>
      <c r="E64" s="50">
        <v>5</v>
      </c>
      <c r="F64" s="30" t="str">
        <f t="shared" si="0"/>
        <v>1.3:1</v>
      </c>
    </row>
    <row r="65" spans="1:6" ht="21.95" customHeight="1" x14ac:dyDescent="0.3">
      <c r="A65" s="47"/>
      <c r="B65" s="36"/>
      <c r="C65" s="10" t="s">
        <v>14</v>
      </c>
      <c r="D65" s="9">
        <v>5</v>
      </c>
      <c r="E65" s="50">
        <v>4</v>
      </c>
      <c r="F65" s="30" t="str">
        <f t="shared" si="0"/>
        <v>0.8:1</v>
      </c>
    </row>
    <row r="66" spans="1:6" ht="21.95" customHeight="1" x14ac:dyDescent="0.3">
      <c r="A66" s="47"/>
      <c r="B66" s="36"/>
      <c r="C66" s="10" t="s">
        <v>5</v>
      </c>
      <c r="D66" s="9">
        <v>2</v>
      </c>
      <c r="E66" s="50">
        <v>3</v>
      </c>
      <c r="F66" s="30" t="str">
        <f t="shared" si="0"/>
        <v>1.5:1</v>
      </c>
    </row>
    <row r="67" spans="1:6" ht="21.95" customHeight="1" x14ac:dyDescent="0.3">
      <c r="A67" s="47"/>
      <c r="B67" s="36"/>
      <c r="C67" s="10" t="s">
        <v>15</v>
      </c>
      <c r="D67" s="9">
        <v>3</v>
      </c>
      <c r="E67" s="50">
        <v>2</v>
      </c>
      <c r="F67" s="30" t="str">
        <f t="shared" si="0"/>
        <v>0.7:1</v>
      </c>
    </row>
    <row r="68" spans="1:6" ht="21.95" customHeight="1" x14ac:dyDescent="0.3">
      <c r="A68" s="47"/>
      <c r="B68" s="36"/>
      <c r="C68" s="10" t="s">
        <v>16</v>
      </c>
      <c r="D68" s="9">
        <v>6</v>
      </c>
      <c r="E68" s="50">
        <v>4</v>
      </c>
      <c r="F68" s="30" t="str">
        <f t="shared" si="0"/>
        <v>0.7:1</v>
      </c>
    </row>
    <row r="69" spans="1:6" ht="21.95" customHeight="1" x14ac:dyDescent="0.3">
      <c r="A69" s="47"/>
      <c r="B69" s="36"/>
      <c r="C69" s="10" t="s">
        <v>6</v>
      </c>
      <c r="D69" s="9">
        <v>5</v>
      </c>
      <c r="E69" s="50">
        <v>1</v>
      </c>
      <c r="F69" s="30" t="str">
        <f t="shared" si="0"/>
        <v>0.2:1</v>
      </c>
    </row>
    <row r="70" spans="1:6" ht="21.95" customHeight="1" x14ac:dyDescent="0.3">
      <c r="A70" s="47"/>
      <c r="B70" s="36"/>
      <c r="C70" s="10" t="s">
        <v>7</v>
      </c>
      <c r="D70" s="9">
        <v>1</v>
      </c>
      <c r="E70" s="50">
        <v>0</v>
      </c>
      <c r="F70" s="30" t="str">
        <f t="shared" si="0"/>
        <v>0:1</v>
      </c>
    </row>
    <row r="71" spans="1:6" ht="21.95" customHeight="1" x14ac:dyDescent="0.3">
      <c r="A71" s="47"/>
      <c r="B71" s="36"/>
      <c r="C71" s="10" t="s">
        <v>8</v>
      </c>
      <c r="D71" s="9">
        <v>5</v>
      </c>
      <c r="E71" s="50">
        <v>5</v>
      </c>
      <c r="F71" s="30" t="str">
        <f t="shared" ref="F71:F122" si="1">ROUND(E71/D71,1)&amp;":1"</f>
        <v>1:1</v>
      </c>
    </row>
    <row r="72" spans="1:6" ht="21.95" customHeight="1" x14ac:dyDescent="0.3">
      <c r="A72" s="47"/>
      <c r="B72" s="36"/>
      <c r="C72" s="10" t="s">
        <v>18</v>
      </c>
      <c r="D72" s="9">
        <v>3</v>
      </c>
      <c r="E72" s="50">
        <v>4</v>
      </c>
      <c r="F72" s="30" t="str">
        <f t="shared" si="1"/>
        <v>1.3:1</v>
      </c>
    </row>
    <row r="73" spans="1:6" ht="21.95" customHeight="1" x14ac:dyDescent="0.3">
      <c r="A73" s="47"/>
      <c r="B73" s="36"/>
      <c r="C73" s="10" t="s">
        <v>9</v>
      </c>
      <c r="D73" s="9">
        <v>1</v>
      </c>
      <c r="E73" s="50">
        <v>3</v>
      </c>
      <c r="F73" s="30" t="str">
        <f t="shared" si="1"/>
        <v>3:1</v>
      </c>
    </row>
    <row r="74" spans="1:6" ht="21.95" customHeight="1" x14ac:dyDescent="0.3">
      <c r="A74" s="47"/>
      <c r="B74" s="36"/>
      <c r="C74" s="10" t="s">
        <v>10</v>
      </c>
      <c r="D74" s="9">
        <v>3</v>
      </c>
      <c r="E74" s="50">
        <v>3</v>
      </c>
      <c r="F74" s="30" t="str">
        <f t="shared" si="1"/>
        <v>1:1</v>
      </c>
    </row>
    <row r="75" spans="1:6" ht="21.95" customHeight="1" x14ac:dyDescent="0.3">
      <c r="A75" s="47"/>
      <c r="B75" s="41" t="s">
        <v>32</v>
      </c>
      <c r="C75" s="41"/>
      <c r="D75" s="12">
        <f>SUM(D76:D91)</f>
        <v>24</v>
      </c>
      <c r="E75" s="49">
        <f>SUM(E76:E91)</f>
        <v>47</v>
      </c>
      <c r="F75" s="29" t="str">
        <f t="shared" si="1"/>
        <v>2:1</v>
      </c>
    </row>
    <row r="76" spans="1:6" ht="21.95" customHeight="1" x14ac:dyDescent="0.3">
      <c r="A76" s="47"/>
      <c r="B76" s="36" t="s">
        <v>67</v>
      </c>
      <c r="C76" s="10" t="s">
        <v>11</v>
      </c>
      <c r="D76" s="15">
        <v>2</v>
      </c>
      <c r="E76" s="50">
        <v>10</v>
      </c>
      <c r="F76" s="30" t="str">
        <f t="shared" si="1"/>
        <v>5:1</v>
      </c>
    </row>
    <row r="77" spans="1:6" ht="21.95" customHeight="1" x14ac:dyDescent="0.3">
      <c r="A77" s="47"/>
      <c r="B77" s="36"/>
      <c r="C77" s="10" t="s">
        <v>3</v>
      </c>
      <c r="D77" s="15">
        <v>3</v>
      </c>
      <c r="E77" s="50">
        <v>7</v>
      </c>
      <c r="F77" s="30" t="str">
        <f t="shared" si="1"/>
        <v>2.3:1</v>
      </c>
    </row>
    <row r="78" spans="1:6" ht="21.95" customHeight="1" x14ac:dyDescent="0.3">
      <c r="A78" s="47"/>
      <c r="B78" s="36"/>
      <c r="C78" s="10" t="s">
        <v>12</v>
      </c>
      <c r="D78" s="15">
        <v>2</v>
      </c>
      <c r="E78" s="50">
        <v>6</v>
      </c>
      <c r="F78" s="30" t="str">
        <f t="shared" si="1"/>
        <v>3:1</v>
      </c>
    </row>
    <row r="79" spans="1:6" ht="21.95" customHeight="1" x14ac:dyDescent="0.3">
      <c r="A79" s="47"/>
      <c r="B79" s="36"/>
      <c r="C79" s="10" t="s">
        <v>13</v>
      </c>
      <c r="D79" s="15">
        <v>1</v>
      </c>
      <c r="E79" s="50">
        <v>2</v>
      </c>
      <c r="F79" s="30" t="str">
        <f t="shared" si="1"/>
        <v>2:1</v>
      </c>
    </row>
    <row r="80" spans="1:6" ht="21.95" customHeight="1" x14ac:dyDescent="0.3">
      <c r="A80" s="47"/>
      <c r="B80" s="36"/>
      <c r="C80" s="10" t="s">
        <v>4</v>
      </c>
      <c r="D80" s="15">
        <v>2</v>
      </c>
      <c r="E80" s="50">
        <v>5</v>
      </c>
      <c r="F80" s="30" t="str">
        <f t="shared" si="1"/>
        <v>2.5:1</v>
      </c>
    </row>
    <row r="81" spans="1:6" ht="21.95" customHeight="1" x14ac:dyDescent="0.3">
      <c r="A81" s="47"/>
      <c r="B81" s="36"/>
      <c r="C81" s="10" t="s">
        <v>14</v>
      </c>
      <c r="D81" s="15">
        <v>2</v>
      </c>
      <c r="E81" s="50">
        <v>0</v>
      </c>
      <c r="F81" s="30" t="str">
        <f t="shared" si="1"/>
        <v>0:1</v>
      </c>
    </row>
    <row r="82" spans="1:6" ht="21.95" customHeight="1" x14ac:dyDescent="0.3">
      <c r="A82" s="47"/>
      <c r="B82" s="36"/>
      <c r="C82" s="10" t="s">
        <v>5</v>
      </c>
      <c r="D82" s="15">
        <v>2</v>
      </c>
      <c r="E82" s="50">
        <v>5</v>
      </c>
      <c r="F82" s="30" t="str">
        <f t="shared" si="1"/>
        <v>2.5:1</v>
      </c>
    </row>
    <row r="83" spans="1:6" ht="21.95" customHeight="1" x14ac:dyDescent="0.3">
      <c r="A83" s="47"/>
      <c r="B83" s="36"/>
      <c r="C83" s="10" t="s">
        <v>15</v>
      </c>
      <c r="D83" s="15">
        <v>1</v>
      </c>
      <c r="E83" s="50">
        <v>0</v>
      </c>
      <c r="F83" s="30" t="str">
        <f t="shared" si="1"/>
        <v>0:1</v>
      </c>
    </row>
    <row r="84" spans="1:6" ht="21.95" customHeight="1" x14ac:dyDescent="0.3">
      <c r="A84" s="47"/>
      <c r="B84" s="36"/>
      <c r="C84" s="10" t="s">
        <v>16</v>
      </c>
      <c r="D84" s="15">
        <v>1</v>
      </c>
      <c r="E84" s="50">
        <v>4</v>
      </c>
      <c r="F84" s="30" t="str">
        <f t="shared" si="1"/>
        <v>4:1</v>
      </c>
    </row>
    <row r="85" spans="1:6" ht="21.95" customHeight="1" x14ac:dyDescent="0.3">
      <c r="A85" s="47"/>
      <c r="B85" s="36"/>
      <c r="C85" s="10" t="s">
        <v>6</v>
      </c>
      <c r="D85" s="15">
        <v>1</v>
      </c>
      <c r="E85" s="50">
        <v>2</v>
      </c>
      <c r="F85" s="30" t="str">
        <f t="shared" si="1"/>
        <v>2:1</v>
      </c>
    </row>
    <row r="86" spans="1:6" ht="21.95" customHeight="1" x14ac:dyDescent="0.3">
      <c r="A86" s="47"/>
      <c r="B86" s="36"/>
      <c r="C86" s="10" t="s">
        <v>7</v>
      </c>
      <c r="D86" s="15">
        <v>1</v>
      </c>
      <c r="E86" s="50">
        <v>1</v>
      </c>
      <c r="F86" s="30" t="str">
        <f t="shared" si="1"/>
        <v>1:1</v>
      </c>
    </row>
    <row r="87" spans="1:6" ht="21.95" customHeight="1" x14ac:dyDescent="0.3">
      <c r="A87" s="47"/>
      <c r="B87" s="36"/>
      <c r="C87" s="10" t="s">
        <v>8</v>
      </c>
      <c r="D87" s="15">
        <v>1</v>
      </c>
      <c r="E87" s="50">
        <v>0</v>
      </c>
      <c r="F87" s="30" t="str">
        <f t="shared" si="1"/>
        <v>0:1</v>
      </c>
    </row>
    <row r="88" spans="1:6" ht="21.95" customHeight="1" x14ac:dyDescent="0.3">
      <c r="A88" s="47"/>
      <c r="B88" s="36"/>
      <c r="C88" s="10" t="s">
        <v>17</v>
      </c>
      <c r="D88" s="15">
        <v>1</v>
      </c>
      <c r="E88" s="50">
        <v>2</v>
      </c>
      <c r="F88" s="30" t="str">
        <f t="shared" si="1"/>
        <v>2:1</v>
      </c>
    </row>
    <row r="89" spans="1:6" ht="21.95" customHeight="1" x14ac:dyDescent="0.3">
      <c r="A89" s="47"/>
      <c r="B89" s="36"/>
      <c r="C89" s="10" t="s">
        <v>18</v>
      </c>
      <c r="D89" s="15">
        <v>1</v>
      </c>
      <c r="E89" s="50">
        <v>0</v>
      </c>
      <c r="F89" s="30" t="str">
        <f t="shared" si="1"/>
        <v>0:1</v>
      </c>
    </row>
    <row r="90" spans="1:6" ht="21.95" customHeight="1" x14ac:dyDescent="0.3">
      <c r="A90" s="47"/>
      <c r="B90" s="36"/>
      <c r="C90" s="10" t="s">
        <v>9</v>
      </c>
      <c r="D90" s="15">
        <v>1</v>
      </c>
      <c r="E90" s="50">
        <v>0</v>
      </c>
      <c r="F90" s="30" t="str">
        <f t="shared" si="1"/>
        <v>0:1</v>
      </c>
    </row>
    <row r="91" spans="1:6" ht="21.95" customHeight="1" x14ac:dyDescent="0.3">
      <c r="A91" s="47"/>
      <c r="B91" s="36"/>
      <c r="C91" s="10" t="s">
        <v>10</v>
      </c>
      <c r="D91" s="15">
        <v>2</v>
      </c>
      <c r="E91" s="50">
        <v>3</v>
      </c>
      <c r="F91" s="30" t="str">
        <f t="shared" si="1"/>
        <v>1.5:1</v>
      </c>
    </row>
    <row r="92" spans="1:6" ht="21.95" customHeight="1" x14ac:dyDescent="0.3">
      <c r="A92" s="47"/>
      <c r="B92" s="41" t="s">
        <v>32</v>
      </c>
      <c r="C92" s="41"/>
      <c r="D92" s="12">
        <f>SUM(D93:D103)</f>
        <v>24</v>
      </c>
      <c r="E92" s="49">
        <f>SUM(E93:E103)</f>
        <v>196</v>
      </c>
      <c r="F92" s="29" t="str">
        <f t="shared" si="1"/>
        <v>8.2:1</v>
      </c>
    </row>
    <row r="93" spans="1:6" ht="21.95" customHeight="1" x14ac:dyDescent="0.3">
      <c r="A93" s="47"/>
      <c r="B93" s="39" t="s">
        <v>64</v>
      </c>
      <c r="C93" s="10" t="s">
        <v>12</v>
      </c>
      <c r="D93" s="9">
        <v>3</v>
      </c>
      <c r="E93" s="50">
        <v>28</v>
      </c>
      <c r="F93" s="30" t="str">
        <f t="shared" si="1"/>
        <v>9.3:1</v>
      </c>
    </row>
    <row r="94" spans="1:6" ht="21.95" customHeight="1" x14ac:dyDescent="0.3">
      <c r="A94" s="47"/>
      <c r="B94" s="40"/>
      <c r="C94" s="10" t="s">
        <v>13</v>
      </c>
      <c r="D94" s="9">
        <v>1</v>
      </c>
      <c r="E94" s="50">
        <v>5</v>
      </c>
      <c r="F94" s="30" t="str">
        <f t="shared" si="1"/>
        <v>5:1</v>
      </c>
    </row>
    <row r="95" spans="1:6" ht="21.95" customHeight="1" x14ac:dyDescent="0.3">
      <c r="A95" s="47"/>
      <c r="B95" s="40"/>
      <c r="C95" s="10" t="s">
        <v>4</v>
      </c>
      <c r="D95" s="9">
        <v>5</v>
      </c>
      <c r="E95" s="50">
        <v>83</v>
      </c>
      <c r="F95" s="30" t="str">
        <f t="shared" si="1"/>
        <v>16.6:1</v>
      </c>
    </row>
    <row r="96" spans="1:6" ht="21.95" customHeight="1" x14ac:dyDescent="0.3">
      <c r="A96" s="47"/>
      <c r="B96" s="40"/>
      <c r="C96" s="10" t="s">
        <v>14</v>
      </c>
      <c r="D96" s="9">
        <v>1</v>
      </c>
      <c r="E96" s="50">
        <v>8</v>
      </c>
      <c r="F96" s="30" t="str">
        <f t="shared" si="1"/>
        <v>8:1</v>
      </c>
    </row>
    <row r="97" spans="1:6" ht="21.95" customHeight="1" x14ac:dyDescent="0.3">
      <c r="A97" s="47"/>
      <c r="B97" s="40"/>
      <c r="C97" s="10" t="s">
        <v>5</v>
      </c>
      <c r="D97" s="9">
        <v>2</v>
      </c>
      <c r="E97" s="50">
        <v>12</v>
      </c>
      <c r="F97" s="30" t="str">
        <f t="shared" si="1"/>
        <v>6:1</v>
      </c>
    </row>
    <row r="98" spans="1:6" ht="21.95" customHeight="1" x14ac:dyDescent="0.3">
      <c r="A98" s="47"/>
      <c r="B98" s="40"/>
      <c r="C98" s="10" t="s">
        <v>15</v>
      </c>
      <c r="D98" s="9">
        <v>1</v>
      </c>
      <c r="E98" s="50">
        <v>3</v>
      </c>
      <c r="F98" s="30" t="str">
        <f t="shared" si="1"/>
        <v>3:1</v>
      </c>
    </row>
    <row r="99" spans="1:6" ht="21.95" customHeight="1" x14ac:dyDescent="0.3">
      <c r="A99" s="47"/>
      <c r="B99" s="40"/>
      <c r="C99" s="10" t="s">
        <v>16</v>
      </c>
      <c r="D99" s="9">
        <v>3</v>
      </c>
      <c r="E99" s="50">
        <v>16</v>
      </c>
      <c r="F99" s="30" t="str">
        <f t="shared" si="1"/>
        <v>5.3:1</v>
      </c>
    </row>
    <row r="100" spans="1:6" ht="21.95" customHeight="1" x14ac:dyDescent="0.3">
      <c r="A100" s="47"/>
      <c r="B100" s="40"/>
      <c r="C100" s="10" t="s">
        <v>6</v>
      </c>
      <c r="D100" s="9">
        <v>2</v>
      </c>
      <c r="E100" s="50">
        <v>11</v>
      </c>
      <c r="F100" s="30" t="str">
        <f t="shared" si="1"/>
        <v>5.5:1</v>
      </c>
    </row>
    <row r="101" spans="1:6" ht="21.95" customHeight="1" x14ac:dyDescent="0.3">
      <c r="A101" s="47"/>
      <c r="B101" s="40"/>
      <c r="C101" s="10" t="s">
        <v>8</v>
      </c>
      <c r="D101" s="9">
        <v>2</v>
      </c>
      <c r="E101" s="50">
        <v>11</v>
      </c>
      <c r="F101" s="30" t="str">
        <f t="shared" si="1"/>
        <v>5.5:1</v>
      </c>
    </row>
    <row r="102" spans="1:6" ht="21.95" customHeight="1" x14ac:dyDescent="0.3">
      <c r="A102" s="47"/>
      <c r="B102" s="40"/>
      <c r="C102" s="10" t="s">
        <v>9</v>
      </c>
      <c r="D102" s="9">
        <v>2</v>
      </c>
      <c r="E102" s="50">
        <v>14</v>
      </c>
      <c r="F102" s="30" t="str">
        <f t="shared" si="1"/>
        <v>7:1</v>
      </c>
    </row>
    <row r="103" spans="1:6" ht="21.95" customHeight="1" x14ac:dyDescent="0.3">
      <c r="A103" s="47"/>
      <c r="B103" s="40"/>
      <c r="C103" s="10" t="s">
        <v>10</v>
      </c>
      <c r="D103" s="9">
        <v>2</v>
      </c>
      <c r="E103" s="50">
        <v>5</v>
      </c>
      <c r="F103" s="30" t="str">
        <f t="shared" si="1"/>
        <v>2.5:1</v>
      </c>
    </row>
    <row r="104" spans="1:6" ht="21.95" customHeight="1" x14ac:dyDescent="0.3">
      <c r="A104" s="47"/>
      <c r="B104" s="41" t="s">
        <v>32</v>
      </c>
      <c r="C104" s="41"/>
      <c r="D104" s="12">
        <f>SUM(D105)</f>
        <v>1</v>
      </c>
      <c r="E104" s="49">
        <f>SUM(E105)</f>
        <v>1</v>
      </c>
      <c r="F104" s="29" t="str">
        <f t="shared" si="1"/>
        <v>1:1</v>
      </c>
    </row>
    <row r="105" spans="1:6" ht="21.95" customHeight="1" x14ac:dyDescent="0.3">
      <c r="A105" s="47"/>
      <c r="B105" s="10" t="s">
        <v>65</v>
      </c>
      <c r="C105" s="10" t="s">
        <v>5</v>
      </c>
      <c r="D105" s="11">
        <v>1</v>
      </c>
      <c r="E105" s="51">
        <v>1</v>
      </c>
      <c r="F105" s="30" t="str">
        <f t="shared" si="1"/>
        <v>1:1</v>
      </c>
    </row>
    <row r="106" spans="1:6" ht="21.95" customHeight="1" x14ac:dyDescent="0.3">
      <c r="A106" s="47"/>
      <c r="B106" s="41" t="s">
        <v>32</v>
      </c>
      <c r="C106" s="41"/>
      <c r="D106" s="12">
        <v>1</v>
      </c>
      <c r="E106" s="49">
        <v>1</v>
      </c>
      <c r="F106" s="29" t="str">
        <f t="shared" si="1"/>
        <v>1:1</v>
      </c>
    </row>
    <row r="107" spans="1:6" ht="21.95" customHeight="1" x14ac:dyDescent="0.3">
      <c r="A107" s="47"/>
      <c r="B107" s="10" t="s">
        <v>66</v>
      </c>
      <c r="C107" s="10" t="s">
        <v>9</v>
      </c>
      <c r="D107" s="11">
        <v>1</v>
      </c>
      <c r="E107" s="51">
        <v>1</v>
      </c>
      <c r="F107" s="30" t="str">
        <f t="shared" si="1"/>
        <v>1:1</v>
      </c>
    </row>
    <row r="108" spans="1:6" ht="21.95" customHeight="1" x14ac:dyDescent="0.3">
      <c r="A108" s="47"/>
      <c r="B108" s="41" t="s">
        <v>32</v>
      </c>
      <c r="C108" s="41"/>
      <c r="D108" s="12">
        <f>SUM(D109:D114)</f>
        <v>6</v>
      </c>
      <c r="E108" s="49">
        <f>SUM(E109:E114)</f>
        <v>109</v>
      </c>
      <c r="F108" s="29" t="str">
        <f t="shared" si="1"/>
        <v>18.2:1</v>
      </c>
    </row>
    <row r="109" spans="1:6" ht="21.95" customHeight="1" x14ac:dyDescent="0.3">
      <c r="A109" s="47"/>
      <c r="B109" s="36" t="s">
        <v>68</v>
      </c>
      <c r="C109" s="10" t="s">
        <v>3</v>
      </c>
      <c r="D109" s="15">
        <v>1</v>
      </c>
      <c r="E109" s="50">
        <v>29</v>
      </c>
      <c r="F109" s="30" t="str">
        <f t="shared" si="1"/>
        <v>29:1</v>
      </c>
    </row>
    <row r="110" spans="1:6" ht="21.95" customHeight="1" x14ac:dyDescent="0.3">
      <c r="A110" s="47"/>
      <c r="B110" s="36"/>
      <c r="C110" s="10" t="s">
        <v>12</v>
      </c>
      <c r="D110" s="15">
        <v>1</v>
      </c>
      <c r="E110" s="50">
        <v>19</v>
      </c>
      <c r="F110" s="30" t="str">
        <f t="shared" si="1"/>
        <v>19:1</v>
      </c>
    </row>
    <row r="111" spans="1:6" ht="21.95" customHeight="1" x14ac:dyDescent="0.3">
      <c r="A111" s="47"/>
      <c r="B111" s="36"/>
      <c r="C111" s="10" t="s">
        <v>4</v>
      </c>
      <c r="D111" s="15">
        <v>1</v>
      </c>
      <c r="E111" s="50">
        <v>15</v>
      </c>
      <c r="F111" s="30" t="str">
        <f t="shared" si="1"/>
        <v>15:1</v>
      </c>
    </row>
    <row r="112" spans="1:6" ht="21.95" customHeight="1" x14ac:dyDescent="0.3">
      <c r="A112" s="47"/>
      <c r="B112" s="36"/>
      <c r="C112" s="10" t="s">
        <v>8</v>
      </c>
      <c r="D112" s="15">
        <v>1</v>
      </c>
      <c r="E112" s="50">
        <v>13</v>
      </c>
      <c r="F112" s="30" t="str">
        <f t="shared" si="1"/>
        <v>13:1</v>
      </c>
    </row>
    <row r="113" spans="1:6" ht="21.95" customHeight="1" x14ac:dyDescent="0.3">
      <c r="A113" s="47"/>
      <c r="B113" s="36"/>
      <c r="C113" s="10" t="s">
        <v>9</v>
      </c>
      <c r="D113" s="15">
        <v>1</v>
      </c>
      <c r="E113" s="50">
        <v>26</v>
      </c>
      <c r="F113" s="30" t="str">
        <f t="shared" si="1"/>
        <v>26:1</v>
      </c>
    </row>
    <row r="114" spans="1:6" ht="21.95" customHeight="1" x14ac:dyDescent="0.3">
      <c r="A114" s="47"/>
      <c r="B114" s="36"/>
      <c r="C114" s="10" t="s">
        <v>10</v>
      </c>
      <c r="D114" s="15">
        <v>1</v>
      </c>
      <c r="E114" s="50">
        <v>7</v>
      </c>
      <c r="F114" s="30" t="str">
        <f t="shared" si="1"/>
        <v>7:1</v>
      </c>
    </row>
    <row r="115" spans="1:6" ht="21.95" customHeight="1" x14ac:dyDescent="0.3">
      <c r="A115" s="47"/>
      <c r="B115" s="41" t="s">
        <v>32</v>
      </c>
      <c r="C115" s="41"/>
      <c r="D115" s="12">
        <f>SUM(D116:D118)</f>
        <v>3</v>
      </c>
      <c r="E115" s="49">
        <f>SUM(E116:E118)</f>
        <v>19</v>
      </c>
      <c r="F115" s="29" t="str">
        <f t="shared" si="1"/>
        <v>6.3:1</v>
      </c>
    </row>
    <row r="116" spans="1:6" ht="21.95" customHeight="1" x14ac:dyDescent="0.3">
      <c r="A116" s="47"/>
      <c r="B116" s="39" t="s">
        <v>69</v>
      </c>
      <c r="C116" s="10" t="s">
        <v>7</v>
      </c>
      <c r="D116" s="11">
        <v>1</v>
      </c>
      <c r="E116" s="50">
        <v>8</v>
      </c>
      <c r="F116" s="32" t="str">
        <f t="shared" si="1"/>
        <v>8:1</v>
      </c>
    </row>
    <row r="117" spans="1:6" ht="21.95" customHeight="1" x14ac:dyDescent="0.3">
      <c r="A117" s="47"/>
      <c r="B117" s="40"/>
      <c r="C117" s="10" t="s">
        <v>17</v>
      </c>
      <c r="D117" s="11">
        <v>1</v>
      </c>
      <c r="E117" s="50">
        <v>8</v>
      </c>
      <c r="F117" s="32" t="str">
        <f t="shared" si="1"/>
        <v>8:1</v>
      </c>
    </row>
    <row r="118" spans="1:6" ht="21.95" customHeight="1" x14ac:dyDescent="0.3">
      <c r="A118" s="47"/>
      <c r="B118" s="40"/>
      <c r="C118" s="10" t="s">
        <v>10</v>
      </c>
      <c r="D118" s="11">
        <v>1</v>
      </c>
      <c r="E118" s="50">
        <v>3</v>
      </c>
      <c r="F118" s="32" t="str">
        <f t="shared" si="1"/>
        <v>3:1</v>
      </c>
    </row>
    <row r="119" spans="1:6" ht="21.95" customHeight="1" x14ac:dyDescent="0.3">
      <c r="A119" s="47"/>
      <c r="B119" s="41" t="s">
        <v>32</v>
      </c>
      <c r="C119" s="41"/>
      <c r="D119" s="12">
        <f>SUM(D120:D132)</f>
        <v>52</v>
      </c>
      <c r="E119" s="49">
        <f>SUM(E120:E132)</f>
        <v>599</v>
      </c>
      <c r="F119" s="31" t="str">
        <f t="shared" si="1"/>
        <v>11.5:1</v>
      </c>
    </row>
    <row r="120" spans="1:6" ht="21.95" customHeight="1" x14ac:dyDescent="0.3">
      <c r="A120" s="47"/>
      <c r="B120" s="36" t="s">
        <v>70</v>
      </c>
      <c r="C120" s="10" t="s">
        <v>3</v>
      </c>
      <c r="D120" s="15">
        <v>10</v>
      </c>
      <c r="E120" s="50">
        <v>167</v>
      </c>
      <c r="F120" s="32" t="str">
        <f t="shared" si="1"/>
        <v>16.7:1</v>
      </c>
    </row>
    <row r="121" spans="1:6" ht="21.95" customHeight="1" x14ac:dyDescent="0.3">
      <c r="A121" s="47"/>
      <c r="B121" s="36"/>
      <c r="C121" s="10" t="s">
        <v>12</v>
      </c>
      <c r="D121" s="15">
        <v>4</v>
      </c>
      <c r="E121" s="50">
        <v>40</v>
      </c>
      <c r="F121" s="32" t="str">
        <f t="shared" si="1"/>
        <v>10:1</v>
      </c>
    </row>
    <row r="122" spans="1:6" ht="21.95" customHeight="1" x14ac:dyDescent="0.3">
      <c r="A122" s="47"/>
      <c r="B122" s="36"/>
      <c r="C122" s="10" t="s">
        <v>4</v>
      </c>
      <c r="D122" s="15">
        <v>8</v>
      </c>
      <c r="E122" s="50">
        <v>71</v>
      </c>
      <c r="F122" s="32" t="str">
        <f t="shared" si="1"/>
        <v>8.9:1</v>
      </c>
    </row>
    <row r="123" spans="1:6" ht="21.95" customHeight="1" x14ac:dyDescent="0.3">
      <c r="A123" s="47"/>
      <c r="B123" s="36"/>
      <c r="C123" s="10" t="s">
        <v>14</v>
      </c>
      <c r="D123" s="15">
        <v>1</v>
      </c>
      <c r="E123" s="50">
        <v>24</v>
      </c>
      <c r="F123" s="32" t="str">
        <f t="shared" ref="F123:F186" si="2">ROUND(E123/D123,1)&amp;":1"</f>
        <v>24:1</v>
      </c>
    </row>
    <row r="124" spans="1:6" ht="21.95" customHeight="1" x14ac:dyDescent="0.3">
      <c r="A124" s="47"/>
      <c r="B124" s="36"/>
      <c r="C124" s="10" t="s">
        <v>5</v>
      </c>
      <c r="D124" s="15">
        <v>1</v>
      </c>
      <c r="E124" s="50">
        <v>7</v>
      </c>
      <c r="F124" s="32" t="str">
        <f t="shared" si="2"/>
        <v>7:1</v>
      </c>
    </row>
    <row r="125" spans="1:6" ht="21.95" customHeight="1" x14ac:dyDescent="0.3">
      <c r="A125" s="47"/>
      <c r="B125" s="36"/>
      <c r="C125" s="10" t="s">
        <v>15</v>
      </c>
      <c r="D125" s="15">
        <v>5</v>
      </c>
      <c r="E125" s="50">
        <v>50</v>
      </c>
      <c r="F125" s="32" t="str">
        <f t="shared" si="2"/>
        <v>10:1</v>
      </c>
    </row>
    <row r="126" spans="1:6" ht="21.95" customHeight="1" x14ac:dyDescent="0.3">
      <c r="A126" s="47"/>
      <c r="B126" s="36"/>
      <c r="C126" s="10" t="s">
        <v>16</v>
      </c>
      <c r="D126" s="15">
        <v>7</v>
      </c>
      <c r="E126" s="50">
        <v>59</v>
      </c>
      <c r="F126" s="32" t="str">
        <f t="shared" si="2"/>
        <v>8.4:1</v>
      </c>
    </row>
    <row r="127" spans="1:6" ht="21.95" customHeight="1" x14ac:dyDescent="0.3">
      <c r="A127" s="47"/>
      <c r="B127" s="36"/>
      <c r="C127" s="10" t="s">
        <v>6</v>
      </c>
      <c r="D127" s="15">
        <v>2</v>
      </c>
      <c r="E127" s="50">
        <v>20</v>
      </c>
      <c r="F127" s="32" t="str">
        <f t="shared" si="2"/>
        <v>10:1</v>
      </c>
    </row>
    <row r="128" spans="1:6" ht="21.95" customHeight="1" x14ac:dyDescent="0.3">
      <c r="A128" s="47"/>
      <c r="B128" s="36"/>
      <c r="C128" s="10" t="s">
        <v>7</v>
      </c>
      <c r="D128" s="15">
        <v>1</v>
      </c>
      <c r="E128" s="50">
        <v>14</v>
      </c>
      <c r="F128" s="32" t="str">
        <f t="shared" si="2"/>
        <v>14:1</v>
      </c>
    </row>
    <row r="129" spans="1:6" ht="21.95" customHeight="1" x14ac:dyDescent="0.3">
      <c r="A129" s="47"/>
      <c r="B129" s="36"/>
      <c r="C129" s="10" t="s">
        <v>17</v>
      </c>
      <c r="D129" s="15">
        <v>4</v>
      </c>
      <c r="E129" s="50">
        <v>46</v>
      </c>
      <c r="F129" s="32" t="str">
        <f t="shared" si="2"/>
        <v>11.5:1</v>
      </c>
    </row>
    <row r="130" spans="1:6" ht="21.95" customHeight="1" x14ac:dyDescent="0.3">
      <c r="A130" s="47"/>
      <c r="B130" s="36"/>
      <c r="C130" s="10" t="s">
        <v>18</v>
      </c>
      <c r="D130" s="15">
        <v>2</v>
      </c>
      <c r="E130" s="50">
        <v>29</v>
      </c>
      <c r="F130" s="32" t="str">
        <f t="shared" si="2"/>
        <v>14.5:1</v>
      </c>
    </row>
    <row r="131" spans="1:6" ht="21.95" customHeight="1" x14ac:dyDescent="0.3">
      <c r="A131" s="47"/>
      <c r="B131" s="36"/>
      <c r="C131" s="10" t="s">
        <v>9</v>
      </c>
      <c r="D131" s="15">
        <v>4</v>
      </c>
      <c r="E131" s="50">
        <v>47</v>
      </c>
      <c r="F131" s="32" t="str">
        <f t="shared" si="2"/>
        <v>11.8:1</v>
      </c>
    </row>
    <row r="132" spans="1:6" ht="21.95" customHeight="1" x14ac:dyDescent="0.3">
      <c r="A132" s="47"/>
      <c r="B132" s="36"/>
      <c r="C132" s="10" t="s">
        <v>10</v>
      </c>
      <c r="D132" s="15">
        <v>3</v>
      </c>
      <c r="E132" s="50">
        <v>25</v>
      </c>
      <c r="F132" s="32" t="str">
        <f t="shared" si="2"/>
        <v>8.3:1</v>
      </c>
    </row>
    <row r="133" spans="1:6" ht="21.95" customHeight="1" x14ac:dyDescent="0.3">
      <c r="A133" s="47"/>
      <c r="B133" s="41" t="s">
        <v>32</v>
      </c>
      <c r="C133" s="41"/>
      <c r="D133" s="12">
        <f>SUM(D134:D142)</f>
        <v>17</v>
      </c>
      <c r="E133" s="49">
        <f>SUM(E134:E142)</f>
        <v>19</v>
      </c>
      <c r="F133" s="31" t="str">
        <f t="shared" si="2"/>
        <v>1.1:1</v>
      </c>
    </row>
    <row r="134" spans="1:6" ht="21.95" customHeight="1" x14ac:dyDescent="0.3">
      <c r="A134" s="47"/>
      <c r="B134" s="36" t="s">
        <v>71</v>
      </c>
      <c r="C134" s="10" t="s">
        <v>3</v>
      </c>
      <c r="D134" s="9">
        <v>1</v>
      </c>
      <c r="E134" s="50">
        <v>5</v>
      </c>
      <c r="F134" s="32" t="str">
        <f t="shared" si="2"/>
        <v>5:1</v>
      </c>
    </row>
    <row r="135" spans="1:6" ht="21.95" customHeight="1" x14ac:dyDescent="0.3">
      <c r="A135" s="47"/>
      <c r="B135" s="36"/>
      <c r="C135" s="10" t="s">
        <v>12</v>
      </c>
      <c r="D135" s="9">
        <v>2</v>
      </c>
      <c r="E135" s="50">
        <v>2</v>
      </c>
      <c r="F135" s="32" t="str">
        <f t="shared" si="2"/>
        <v>1:1</v>
      </c>
    </row>
    <row r="136" spans="1:6" ht="21.95" customHeight="1" x14ac:dyDescent="0.3">
      <c r="A136" s="47"/>
      <c r="B136" s="36"/>
      <c r="C136" s="10" t="s">
        <v>15</v>
      </c>
      <c r="D136" s="9">
        <v>2</v>
      </c>
      <c r="E136" s="50">
        <v>2</v>
      </c>
      <c r="F136" s="32" t="str">
        <f t="shared" si="2"/>
        <v>1:1</v>
      </c>
    </row>
    <row r="137" spans="1:6" ht="21.95" customHeight="1" x14ac:dyDescent="0.3">
      <c r="A137" s="47"/>
      <c r="B137" s="36"/>
      <c r="C137" s="10" t="s">
        <v>16</v>
      </c>
      <c r="D137" s="9">
        <v>1</v>
      </c>
      <c r="E137" s="50">
        <v>4</v>
      </c>
      <c r="F137" s="32" t="str">
        <f t="shared" si="2"/>
        <v>4:1</v>
      </c>
    </row>
    <row r="138" spans="1:6" ht="21.95" customHeight="1" x14ac:dyDescent="0.3">
      <c r="A138" s="47"/>
      <c r="B138" s="36"/>
      <c r="C138" s="10" t="s">
        <v>6</v>
      </c>
      <c r="D138" s="9">
        <v>5</v>
      </c>
      <c r="E138" s="50">
        <v>2</v>
      </c>
      <c r="F138" s="32" t="str">
        <f t="shared" si="2"/>
        <v>0.4:1</v>
      </c>
    </row>
    <row r="139" spans="1:6" ht="21.95" customHeight="1" x14ac:dyDescent="0.3">
      <c r="A139" s="47"/>
      <c r="B139" s="36"/>
      <c r="C139" s="10" t="s">
        <v>7</v>
      </c>
      <c r="D139" s="9">
        <v>1</v>
      </c>
      <c r="E139" s="50">
        <v>3</v>
      </c>
      <c r="F139" s="32" t="str">
        <f t="shared" si="2"/>
        <v>3:1</v>
      </c>
    </row>
    <row r="140" spans="1:6" ht="21.95" customHeight="1" x14ac:dyDescent="0.3">
      <c r="A140" s="47"/>
      <c r="B140" s="36"/>
      <c r="C140" s="10" t="s">
        <v>17</v>
      </c>
      <c r="D140" s="9">
        <v>2</v>
      </c>
      <c r="E140" s="50">
        <v>1</v>
      </c>
      <c r="F140" s="32" t="str">
        <f t="shared" si="2"/>
        <v>0.5:1</v>
      </c>
    </row>
    <row r="141" spans="1:6" ht="21.95" customHeight="1" x14ac:dyDescent="0.3">
      <c r="A141" s="47"/>
      <c r="B141" s="36"/>
      <c r="C141" s="10" t="s">
        <v>18</v>
      </c>
      <c r="D141" s="9">
        <v>2</v>
      </c>
      <c r="E141" s="50">
        <v>0</v>
      </c>
      <c r="F141" s="32" t="str">
        <f t="shared" si="2"/>
        <v>0:1</v>
      </c>
    </row>
    <row r="142" spans="1:6" ht="21.95" customHeight="1" x14ac:dyDescent="0.3">
      <c r="A142" s="47"/>
      <c r="B142" s="36"/>
      <c r="C142" s="10" t="s">
        <v>9</v>
      </c>
      <c r="D142" s="9">
        <v>1</v>
      </c>
      <c r="E142" s="50">
        <v>0</v>
      </c>
      <c r="F142" s="32" t="str">
        <f t="shared" si="2"/>
        <v>0:1</v>
      </c>
    </row>
    <row r="143" spans="1:6" ht="21.95" customHeight="1" x14ac:dyDescent="0.3">
      <c r="A143" s="47"/>
      <c r="B143" s="41" t="s">
        <v>32</v>
      </c>
      <c r="C143" s="41"/>
      <c r="D143" s="12">
        <v>2</v>
      </c>
      <c r="E143" s="49">
        <v>8</v>
      </c>
      <c r="F143" s="31" t="str">
        <f t="shared" si="2"/>
        <v>4:1</v>
      </c>
    </row>
    <row r="144" spans="1:6" ht="21.95" customHeight="1" x14ac:dyDescent="0.3">
      <c r="A144" s="47"/>
      <c r="B144" s="36" t="s">
        <v>72</v>
      </c>
      <c r="C144" s="10" t="s">
        <v>3</v>
      </c>
      <c r="D144" s="11">
        <v>1</v>
      </c>
      <c r="E144" s="50">
        <v>6</v>
      </c>
      <c r="F144" s="32" t="str">
        <f t="shared" si="2"/>
        <v>6:1</v>
      </c>
    </row>
    <row r="145" spans="1:6" ht="21.95" customHeight="1" x14ac:dyDescent="0.3">
      <c r="A145" s="47"/>
      <c r="B145" s="36"/>
      <c r="C145" s="10" t="s">
        <v>6</v>
      </c>
      <c r="D145" s="11">
        <v>1</v>
      </c>
      <c r="E145" s="50">
        <v>2</v>
      </c>
      <c r="F145" s="32" t="str">
        <f t="shared" si="2"/>
        <v>2:1</v>
      </c>
    </row>
    <row r="146" spans="1:6" ht="21.95" customHeight="1" x14ac:dyDescent="0.3">
      <c r="A146" s="47"/>
      <c r="B146" s="41" t="s">
        <v>32</v>
      </c>
      <c r="C146" s="41"/>
      <c r="D146" s="12">
        <f>SUM(D147:D153)</f>
        <v>15</v>
      </c>
      <c r="E146" s="49">
        <f>SUM(E147:E153)</f>
        <v>111</v>
      </c>
      <c r="F146" s="31" t="str">
        <f t="shared" si="2"/>
        <v>7.4:1</v>
      </c>
    </row>
    <row r="147" spans="1:6" ht="21.95" customHeight="1" x14ac:dyDescent="0.3">
      <c r="A147" s="47"/>
      <c r="B147" s="36" t="s">
        <v>73</v>
      </c>
      <c r="C147" s="10" t="s">
        <v>3</v>
      </c>
      <c r="D147" s="9">
        <v>3</v>
      </c>
      <c r="E147" s="50">
        <v>19</v>
      </c>
      <c r="F147" s="32" t="str">
        <f t="shared" si="2"/>
        <v>6.3:1</v>
      </c>
    </row>
    <row r="148" spans="1:6" ht="21.95" customHeight="1" x14ac:dyDescent="0.3">
      <c r="A148" s="47"/>
      <c r="B148" s="36"/>
      <c r="C148" s="10" t="s">
        <v>4</v>
      </c>
      <c r="D148" s="9">
        <v>4</v>
      </c>
      <c r="E148" s="50">
        <v>38</v>
      </c>
      <c r="F148" s="32" t="str">
        <f t="shared" si="2"/>
        <v>9.5:1</v>
      </c>
    </row>
    <row r="149" spans="1:6" ht="21.95" customHeight="1" x14ac:dyDescent="0.3">
      <c r="A149" s="47"/>
      <c r="B149" s="36"/>
      <c r="C149" s="10" t="s">
        <v>14</v>
      </c>
      <c r="D149" s="9">
        <v>1</v>
      </c>
      <c r="E149" s="50">
        <v>8</v>
      </c>
      <c r="F149" s="32" t="str">
        <f t="shared" si="2"/>
        <v>8:1</v>
      </c>
    </row>
    <row r="150" spans="1:6" ht="21.95" customHeight="1" x14ac:dyDescent="0.3">
      <c r="A150" s="47"/>
      <c r="B150" s="36"/>
      <c r="C150" s="10" t="s">
        <v>5</v>
      </c>
      <c r="D150" s="9">
        <v>4</v>
      </c>
      <c r="E150" s="50">
        <v>18</v>
      </c>
      <c r="F150" s="32" t="str">
        <f t="shared" si="2"/>
        <v>4.5:1</v>
      </c>
    </row>
    <row r="151" spans="1:6" ht="21.95" customHeight="1" x14ac:dyDescent="0.3">
      <c r="A151" s="47"/>
      <c r="B151" s="36"/>
      <c r="C151" s="10" t="s">
        <v>7</v>
      </c>
      <c r="D151" s="9">
        <v>1</v>
      </c>
      <c r="E151" s="50">
        <v>12</v>
      </c>
      <c r="F151" s="32" t="str">
        <f t="shared" si="2"/>
        <v>12:1</v>
      </c>
    </row>
    <row r="152" spans="1:6" ht="21.95" customHeight="1" x14ac:dyDescent="0.3">
      <c r="A152" s="47"/>
      <c r="B152" s="36"/>
      <c r="C152" s="10" t="s">
        <v>9</v>
      </c>
      <c r="D152" s="9">
        <v>1</v>
      </c>
      <c r="E152" s="50">
        <v>10</v>
      </c>
      <c r="F152" s="32" t="str">
        <f t="shared" si="2"/>
        <v>10:1</v>
      </c>
    </row>
    <row r="153" spans="1:6" ht="21.95" customHeight="1" x14ac:dyDescent="0.3">
      <c r="A153" s="47"/>
      <c r="B153" s="36"/>
      <c r="C153" s="10" t="s">
        <v>10</v>
      </c>
      <c r="D153" s="9">
        <v>1</v>
      </c>
      <c r="E153" s="50">
        <v>6</v>
      </c>
      <c r="F153" s="32" t="str">
        <f t="shared" si="2"/>
        <v>6:1</v>
      </c>
    </row>
    <row r="154" spans="1:6" ht="21.95" customHeight="1" x14ac:dyDescent="0.3">
      <c r="A154" s="47"/>
      <c r="B154" s="41" t="s">
        <v>32</v>
      </c>
      <c r="C154" s="41"/>
      <c r="D154" s="12">
        <f>SUM(D155:D165)</f>
        <v>23</v>
      </c>
      <c r="E154" s="49">
        <f>SUM(E155:E165)</f>
        <v>82</v>
      </c>
      <c r="F154" s="31" t="str">
        <f t="shared" si="2"/>
        <v>3.6:1</v>
      </c>
    </row>
    <row r="155" spans="1:6" ht="21.95" customHeight="1" x14ac:dyDescent="0.3">
      <c r="A155" s="47"/>
      <c r="B155" s="39" t="s">
        <v>74</v>
      </c>
      <c r="C155" s="10" t="s">
        <v>11</v>
      </c>
      <c r="D155" s="15">
        <v>3</v>
      </c>
      <c r="E155" s="50">
        <v>6</v>
      </c>
      <c r="F155" s="32" t="str">
        <f t="shared" si="2"/>
        <v>2:1</v>
      </c>
    </row>
    <row r="156" spans="1:6" ht="21.95" customHeight="1" x14ac:dyDescent="0.3">
      <c r="A156" s="47"/>
      <c r="B156" s="40"/>
      <c r="C156" s="10" t="s">
        <v>3</v>
      </c>
      <c r="D156" s="15">
        <v>5</v>
      </c>
      <c r="E156" s="50">
        <v>24</v>
      </c>
      <c r="F156" s="32" t="str">
        <f t="shared" si="2"/>
        <v>4.8:1</v>
      </c>
    </row>
    <row r="157" spans="1:6" ht="21.95" customHeight="1" x14ac:dyDescent="0.3">
      <c r="A157" s="47"/>
      <c r="B157" s="40"/>
      <c r="C157" s="10" t="s">
        <v>13</v>
      </c>
      <c r="D157" s="15">
        <v>1</v>
      </c>
      <c r="E157" s="50">
        <v>2</v>
      </c>
      <c r="F157" s="32" t="str">
        <f t="shared" si="2"/>
        <v>2:1</v>
      </c>
    </row>
    <row r="158" spans="1:6" ht="21.95" customHeight="1" x14ac:dyDescent="0.3">
      <c r="A158" s="47"/>
      <c r="B158" s="40"/>
      <c r="C158" s="10" t="s">
        <v>4</v>
      </c>
      <c r="D158" s="15">
        <v>2</v>
      </c>
      <c r="E158" s="50">
        <v>6</v>
      </c>
      <c r="F158" s="32" t="str">
        <f t="shared" si="2"/>
        <v>3:1</v>
      </c>
    </row>
    <row r="159" spans="1:6" ht="21.95" customHeight="1" x14ac:dyDescent="0.3">
      <c r="A159" s="47"/>
      <c r="B159" s="40"/>
      <c r="C159" s="10" t="s">
        <v>5</v>
      </c>
      <c r="D159" s="15">
        <v>2</v>
      </c>
      <c r="E159" s="50">
        <v>11</v>
      </c>
      <c r="F159" s="32" t="str">
        <f t="shared" si="2"/>
        <v>5.5:1</v>
      </c>
    </row>
    <row r="160" spans="1:6" ht="21.95" customHeight="1" x14ac:dyDescent="0.3">
      <c r="A160" s="47"/>
      <c r="B160" s="40"/>
      <c r="C160" s="10" t="s">
        <v>15</v>
      </c>
      <c r="D160" s="15">
        <v>1</v>
      </c>
      <c r="E160" s="50">
        <v>3</v>
      </c>
      <c r="F160" s="32" t="str">
        <f t="shared" si="2"/>
        <v>3:1</v>
      </c>
    </row>
    <row r="161" spans="1:6" ht="21.95" customHeight="1" x14ac:dyDescent="0.3">
      <c r="A161" s="47"/>
      <c r="B161" s="40"/>
      <c r="C161" s="10" t="s">
        <v>7</v>
      </c>
      <c r="D161" s="15">
        <v>1</v>
      </c>
      <c r="E161" s="50">
        <v>10</v>
      </c>
      <c r="F161" s="32" t="str">
        <f t="shared" si="2"/>
        <v>10:1</v>
      </c>
    </row>
    <row r="162" spans="1:6" ht="21.95" customHeight="1" x14ac:dyDescent="0.3">
      <c r="A162" s="47"/>
      <c r="B162" s="40"/>
      <c r="C162" s="10" t="s">
        <v>8</v>
      </c>
      <c r="D162" s="15">
        <v>1</v>
      </c>
      <c r="E162" s="50">
        <v>1</v>
      </c>
      <c r="F162" s="32" t="str">
        <f t="shared" si="2"/>
        <v>1:1</v>
      </c>
    </row>
    <row r="163" spans="1:6" ht="21.95" customHeight="1" x14ac:dyDescent="0.3">
      <c r="A163" s="47"/>
      <c r="B163" s="40"/>
      <c r="C163" s="10" t="s">
        <v>18</v>
      </c>
      <c r="D163" s="15">
        <v>1</v>
      </c>
      <c r="E163" s="50">
        <v>1</v>
      </c>
      <c r="F163" s="32" t="str">
        <f t="shared" si="2"/>
        <v>1:1</v>
      </c>
    </row>
    <row r="164" spans="1:6" ht="21.95" customHeight="1" x14ac:dyDescent="0.3">
      <c r="A164" s="47"/>
      <c r="B164" s="40"/>
      <c r="C164" s="10" t="s">
        <v>9</v>
      </c>
      <c r="D164" s="15">
        <v>2</v>
      </c>
      <c r="E164" s="50">
        <v>4</v>
      </c>
      <c r="F164" s="32" t="str">
        <f t="shared" si="2"/>
        <v>2:1</v>
      </c>
    </row>
    <row r="165" spans="1:6" ht="21.95" customHeight="1" x14ac:dyDescent="0.3">
      <c r="A165" s="47"/>
      <c r="B165" s="42"/>
      <c r="C165" s="10" t="s">
        <v>10</v>
      </c>
      <c r="D165" s="15">
        <v>4</v>
      </c>
      <c r="E165" s="50">
        <v>14</v>
      </c>
      <c r="F165" s="32" t="str">
        <f t="shared" si="2"/>
        <v>3.5:1</v>
      </c>
    </row>
    <row r="166" spans="1:6" ht="21.95" customHeight="1" x14ac:dyDescent="0.3">
      <c r="A166" s="47"/>
      <c r="B166" s="41" t="s">
        <v>32</v>
      </c>
      <c r="C166" s="41"/>
      <c r="D166" s="12">
        <v>1</v>
      </c>
      <c r="E166" s="49">
        <v>2</v>
      </c>
      <c r="F166" s="31" t="str">
        <f t="shared" si="2"/>
        <v>2:1</v>
      </c>
    </row>
    <row r="167" spans="1:6" ht="21.95" customHeight="1" x14ac:dyDescent="0.3">
      <c r="A167" s="47"/>
      <c r="B167" s="20" t="s">
        <v>75</v>
      </c>
      <c r="C167" s="10" t="s">
        <v>6</v>
      </c>
      <c r="D167" s="11">
        <v>1</v>
      </c>
      <c r="E167" s="51">
        <v>2</v>
      </c>
      <c r="F167" s="32" t="str">
        <f t="shared" si="2"/>
        <v>2:1</v>
      </c>
    </row>
    <row r="168" spans="1:6" ht="21.95" customHeight="1" x14ac:dyDescent="0.3">
      <c r="A168" s="47"/>
      <c r="B168" s="41" t="s">
        <v>32</v>
      </c>
      <c r="C168" s="41"/>
      <c r="D168" s="12">
        <f>SUM(D169:D174)</f>
        <v>10</v>
      </c>
      <c r="E168" s="49">
        <f>SUM(E169:E174)</f>
        <v>73</v>
      </c>
      <c r="F168" s="31" t="str">
        <f t="shared" si="2"/>
        <v>7.3:1</v>
      </c>
    </row>
    <row r="169" spans="1:6" ht="21.95" customHeight="1" x14ac:dyDescent="0.3">
      <c r="A169" s="47"/>
      <c r="B169" s="36" t="s">
        <v>76</v>
      </c>
      <c r="C169" s="10" t="s">
        <v>11</v>
      </c>
      <c r="D169" s="15">
        <v>2</v>
      </c>
      <c r="E169" s="50">
        <v>22</v>
      </c>
      <c r="F169" s="32" t="str">
        <f t="shared" si="2"/>
        <v>11:1</v>
      </c>
    </row>
    <row r="170" spans="1:6" ht="21.95" customHeight="1" x14ac:dyDescent="0.3">
      <c r="A170" s="47"/>
      <c r="B170" s="36"/>
      <c r="C170" s="10" t="s">
        <v>3</v>
      </c>
      <c r="D170" s="15">
        <v>2</v>
      </c>
      <c r="E170" s="50">
        <v>20</v>
      </c>
      <c r="F170" s="32" t="str">
        <f t="shared" si="2"/>
        <v>10:1</v>
      </c>
    </row>
    <row r="171" spans="1:6" ht="21.95" customHeight="1" x14ac:dyDescent="0.3">
      <c r="A171" s="47"/>
      <c r="B171" s="36"/>
      <c r="C171" s="10" t="s">
        <v>4</v>
      </c>
      <c r="D171" s="15">
        <v>1</v>
      </c>
      <c r="E171" s="50">
        <v>4</v>
      </c>
      <c r="F171" s="32" t="str">
        <f t="shared" si="2"/>
        <v>4:1</v>
      </c>
    </row>
    <row r="172" spans="1:6" ht="21.95" customHeight="1" x14ac:dyDescent="0.3">
      <c r="A172" s="47"/>
      <c r="B172" s="36"/>
      <c r="C172" s="10" t="s">
        <v>7</v>
      </c>
      <c r="D172" s="15">
        <v>1</v>
      </c>
      <c r="E172" s="50">
        <v>8</v>
      </c>
      <c r="F172" s="32" t="str">
        <f t="shared" si="2"/>
        <v>8:1</v>
      </c>
    </row>
    <row r="173" spans="1:6" ht="21.95" customHeight="1" x14ac:dyDescent="0.3">
      <c r="A173" s="47"/>
      <c r="B173" s="36"/>
      <c r="C173" s="10" t="s">
        <v>8</v>
      </c>
      <c r="D173" s="15">
        <v>2</v>
      </c>
      <c r="E173" s="50">
        <v>5</v>
      </c>
      <c r="F173" s="32" t="str">
        <f t="shared" si="2"/>
        <v>2.5:1</v>
      </c>
    </row>
    <row r="174" spans="1:6" ht="21.95" customHeight="1" x14ac:dyDescent="0.3">
      <c r="A174" s="47"/>
      <c r="B174" s="36"/>
      <c r="C174" s="10" t="s">
        <v>9</v>
      </c>
      <c r="D174" s="15">
        <v>2</v>
      </c>
      <c r="E174" s="50">
        <v>14</v>
      </c>
      <c r="F174" s="32" t="str">
        <f t="shared" si="2"/>
        <v>7:1</v>
      </c>
    </row>
    <row r="175" spans="1:6" ht="21.95" customHeight="1" x14ac:dyDescent="0.3">
      <c r="A175" s="47"/>
      <c r="B175" s="41" t="s">
        <v>32</v>
      </c>
      <c r="C175" s="41"/>
      <c r="D175" s="12">
        <f>SUM(D176:D180)</f>
        <v>6</v>
      </c>
      <c r="E175" s="49">
        <f>SUM(E176:E180)</f>
        <v>29</v>
      </c>
      <c r="F175" s="31" t="str">
        <f t="shared" si="2"/>
        <v>4.8:1</v>
      </c>
    </row>
    <row r="176" spans="1:6" ht="21.95" customHeight="1" x14ac:dyDescent="0.3">
      <c r="A176" s="47"/>
      <c r="B176" s="36" t="s">
        <v>77</v>
      </c>
      <c r="C176" s="10" t="s">
        <v>3</v>
      </c>
      <c r="D176" s="9">
        <v>1</v>
      </c>
      <c r="E176" s="50">
        <v>4</v>
      </c>
      <c r="F176" s="32" t="str">
        <f t="shared" si="2"/>
        <v>4:1</v>
      </c>
    </row>
    <row r="177" spans="1:6" ht="21.95" customHeight="1" x14ac:dyDescent="0.3">
      <c r="A177" s="47"/>
      <c r="B177" s="36"/>
      <c r="C177" s="10" t="s">
        <v>4</v>
      </c>
      <c r="D177" s="9">
        <v>2</v>
      </c>
      <c r="E177" s="50">
        <v>10</v>
      </c>
      <c r="F177" s="32" t="str">
        <f t="shared" si="2"/>
        <v>5:1</v>
      </c>
    </row>
    <row r="178" spans="1:6" ht="21.95" customHeight="1" x14ac:dyDescent="0.3">
      <c r="A178" s="47"/>
      <c r="B178" s="36"/>
      <c r="C178" s="10" t="s">
        <v>5</v>
      </c>
      <c r="D178" s="9">
        <v>1</v>
      </c>
      <c r="E178" s="50">
        <v>4</v>
      </c>
      <c r="F178" s="32" t="str">
        <f t="shared" si="2"/>
        <v>4:1</v>
      </c>
    </row>
    <row r="179" spans="1:6" ht="21.95" customHeight="1" x14ac:dyDescent="0.3">
      <c r="A179" s="47"/>
      <c r="B179" s="36"/>
      <c r="C179" s="10" t="s">
        <v>15</v>
      </c>
      <c r="D179" s="9">
        <v>1</v>
      </c>
      <c r="E179" s="50">
        <v>5</v>
      </c>
      <c r="F179" s="32" t="str">
        <f t="shared" si="2"/>
        <v>5:1</v>
      </c>
    </row>
    <row r="180" spans="1:6" ht="21.95" customHeight="1" x14ac:dyDescent="0.3">
      <c r="A180" s="47"/>
      <c r="B180" s="36"/>
      <c r="C180" s="10" t="s">
        <v>18</v>
      </c>
      <c r="D180" s="9">
        <v>1</v>
      </c>
      <c r="E180" s="50">
        <v>6</v>
      </c>
      <c r="F180" s="32" t="str">
        <f t="shared" si="2"/>
        <v>6:1</v>
      </c>
    </row>
    <row r="181" spans="1:6" ht="21.95" customHeight="1" x14ac:dyDescent="0.3">
      <c r="A181" s="47"/>
      <c r="B181" s="41" t="s">
        <v>32</v>
      </c>
      <c r="C181" s="41"/>
      <c r="D181" s="12">
        <f>SUM(D182:D196)</f>
        <v>37</v>
      </c>
      <c r="E181" s="49">
        <f>SUM(E182:E196)</f>
        <v>208</v>
      </c>
      <c r="F181" s="31" t="str">
        <f t="shared" si="2"/>
        <v>5.6:1</v>
      </c>
    </row>
    <row r="182" spans="1:6" ht="21.95" customHeight="1" x14ac:dyDescent="0.3">
      <c r="A182" s="47"/>
      <c r="B182" s="36" t="s">
        <v>78</v>
      </c>
      <c r="C182" s="10" t="s">
        <v>11</v>
      </c>
      <c r="D182" s="15">
        <v>3</v>
      </c>
      <c r="E182" s="50">
        <v>25</v>
      </c>
      <c r="F182" s="32" t="str">
        <f t="shared" si="2"/>
        <v>8.3:1</v>
      </c>
    </row>
    <row r="183" spans="1:6" ht="21.95" customHeight="1" x14ac:dyDescent="0.3">
      <c r="A183" s="47"/>
      <c r="B183" s="36"/>
      <c r="C183" s="10" t="s">
        <v>3</v>
      </c>
      <c r="D183" s="15">
        <v>2</v>
      </c>
      <c r="E183" s="50">
        <v>16</v>
      </c>
      <c r="F183" s="32" t="str">
        <f t="shared" si="2"/>
        <v>8:1</v>
      </c>
    </row>
    <row r="184" spans="1:6" ht="21.95" customHeight="1" x14ac:dyDescent="0.3">
      <c r="A184" s="47"/>
      <c r="B184" s="36"/>
      <c r="C184" s="10" t="s">
        <v>12</v>
      </c>
      <c r="D184" s="15">
        <v>3</v>
      </c>
      <c r="E184" s="50">
        <v>13</v>
      </c>
      <c r="F184" s="32" t="str">
        <f t="shared" si="2"/>
        <v>4.3:1</v>
      </c>
    </row>
    <row r="185" spans="1:6" ht="21.95" customHeight="1" x14ac:dyDescent="0.3">
      <c r="A185" s="47"/>
      <c r="B185" s="36"/>
      <c r="C185" s="10" t="s">
        <v>13</v>
      </c>
      <c r="D185" s="15">
        <v>2</v>
      </c>
      <c r="E185" s="50">
        <v>9</v>
      </c>
      <c r="F185" s="32" t="str">
        <f t="shared" si="2"/>
        <v>4.5:1</v>
      </c>
    </row>
    <row r="186" spans="1:6" ht="21.95" customHeight="1" x14ac:dyDescent="0.3">
      <c r="A186" s="47"/>
      <c r="B186" s="36"/>
      <c r="C186" s="10" t="s">
        <v>4</v>
      </c>
      <c r="D186" s="15">
        <v>3</v>
      </c>
      <c r="E186" s="50">
        <v>18</v>
      </c>
      <c r="F186" s="32" t="str">
        <f t="shared" si="2"/>
        <v>6:1</v>
      </c>
    </row>
    <row r="187" spans="1:6" ht="21.95" customHeight="1" x14ac:dyDescent="0.3">
      <c r="A187" s="47"/>
      <c r="B187" s="36"/>
      <c r="C187" s="10" t="s">
        <v>14</v>
      </c>
      <c r="D187" s="15">
        <v>3</v>
      </c>
      <c r="E187" s="50">
        <v>19</v>
      </c>
      <c r="F187" s="32" t="str">
        <f t="shared" ref="F187:F250" si="3">ROUND(E187/D187,1)&amp;":1"</f>
        <v>6.3:1</v>
      </c>
    </row>
    <row r="188" spans="1:6" ht="21.95" customHeight="1" x14ac:dyDescent="0.3">
      <c r="A188" s="47"/>
      <c r="B188" s="36"/>
      <c r="C188" s="10" t="s">
        <v>5</v>
      </c>
      <c r="D188" s="15">
        <v>3</v>
      </c>
      <c r="E188" s="50">
        <v>20</v>
      </c>
      <c r="F188" s="32" t="str">
        <f t="shared" si="3"/>
        <v>6.7:1</v>
      </c>
    </row>
    <row r="189" spans="1:6" ht="21.95" customHeight="1" x14ac:dyDescent="0.3">
      <c r="A189" s="47"/>
      <c r="B189" s="36"/>
      <c r="C189" s="10" t="s">
        <v>16</v>
      </c>
      <c r="D189" s="15">
        <v>4</v>
      </c>
      <c r="E189" s="50">
        <v>17</v>
      </c>
      <c r="F189" s="32" t="str">
        <f t="shared" si="3"/>
        <v>4.3:1</v>
      </c>
    </row>
    <row r="190" spans="1:6" ht="21.95" customHeight="1" x14ac:dyDescent="0.3">
      <c r="A190" s="47"/>
      <c r="B190" s="36"/>
      <c r="C190" s="10" t="s">
        <v>6</v>
      </c>
      <c r="D190" s="15">
        <v>1</v>
      </c>
      <c r="E190" s="50">
        <v>8</v>
      </c>
      <c r="F190" s="32" t="str">
        <f t="shared" si="3"/>
        <v>8:1</v>
      </c>
    </row>
    <row r="191" spans="1:6" ht="21.95" customHeight="1" x14ac:dyDescent="0.3">
      <c r="A191" s="47"/>
      <c r="B191" s="36"/>
      <c r="C191" s="10" t="s">
        <v>7</v>
      </c>
      <c r="D191" s="15">
        <v>3</v>
      </c>
      <c r="E191" s="50">
        <v>15</v>
      </c>
      <c r="F191" s="32" t="str">
        <f t="shared" si="3"/>
        <v>5:1</v>
      </c>
    </row>
    <row r="192" spans="1:6" ht="21.95" customHeight="1" x14ac:dyDescent="0.3">
      <c r="A192" s="47"/>
      <c r="B192" s="36"/>
      <c r="C192" s="10" t="s">
        <v>8</v>
      </c>
      <c r="D192" s="15">
        <v>3</v>
      </c>
      <c r="E192" s="50">
        <v>13</v>
      </c>
      <c r="F192" s="32" t="str">
        <f t="shared" si="3"/>
        <v>4.3:1</v>
      </c>
    </row>
    <row r="193" spans="1:6" ht="21.95" customHeight="1" x14ac:dyDescent="0.3">
      <c r="A193" s="47"/>
      <c r="B193" s="36"/>
      <c r="C193" s="10" t="s">
        <v>17</v>
      </c>
      <c r="D193" s="15">
        <v>2</v>
      </c>
      <c r="E193" s="50">
        <v>13</v>
      </c>
      <c r="F193" s="32" t="str">
        <f t="shared" si="3"/>
        <v>6.5:1</v>
      </c>
    </row>
    <row r="194" spans="1:6" ht="21.95" customHeight="1" x14ac:dyDescent="0.3">
      <c r="A194" s="47"/>
      <c r="B194" s="36"/>
      <c r="C194" s="10" t="s">
        <v>18</v>
      </c>
      <c r="D194" s="15">
        <v>1</v>
      </c>
      <c r="E194" s="50">
        <v>5</v>
      </c>
      <c r="F194" s="32" t="str">
        <f t="shared" si="3"/>
        <v>5:1</v>
      </c>
    </row>
    <row r="195" spans="1:6" ht="21.95" customHeight="1" x14ac:dyDescent="0.3">
      <c r="A195" s="47"/>
      <c r="B195" s="36"/>
      <c r="C195" s="10" t="s">
        <v>9</v>
      </c>
      <c r="D195" s="15">
        <v>2</v>
      </c>
      <c r="E195" s="50">
        <v>14</v>
      </c>
      <c r="F195" s="32" t="str">
        <f t="shared" si="3"/>
        <v>7:1</v>
      </c>
    </row>
    <row r="196" spans="1:6" ht="21.95" customHeight="1" x14ac:dyDescent="0.3">
      <c r="A196" s="47"/>
      <c r="B196" s="36"/>
      <c r="C196" s="10" t="s">
        <v>10</v>
      </c>
      <c r="D196" s="15">
        <v>2</v>
      </c>
      <c r="E196" s="50">
        <v>3</v>
      </c>
      <c r="F196" s="32" t="str">
        <f t="shared" si="3"/>
        <v>1.5:1</v>
      </c>
    </row>
    <row r="197" spans="1:6" ht="21.95" customHeight="1" x14ac:dyDescent="0.3">
      <c r="A197" s="47"/>
      <c r="B197" s="41" t="s">
        <v>32</v>
      </c>
      <c r="C197" s="41"/>
      <c r="D197" s="12">
        <f>SUM(D198:D208)</f>
        <v>19</v>
      </c>
      <c r="E197" s="49">
        <f>SUM(E198:E208)</f>
        <v>64</v>
      </c>
      <c r="F197" s="31" t="str">
        <f t="shared" si="3"/>
        <v>3.4:1</v>
      </c>
    </row>
    <row r="198" spans="1:6" ht="21.95" customHeight="1" x14ac:dyDescent="0.3">
      <c r="A198" s="47"/>
      <c r="B198" s="36" t="s">
        <v>79</v>
      </c>
      <c r="C198" s="10" t="s">
        <v>11</v>
      </c>
      <c r="D198" s="9">
        <v>2</v>
      </c>
      <c r="E198" s="50">
        <v>13</v>
      </c>
      <c r="F198" s="32" t="str">
        <f t="shared" si="3"/>
        <v>6.5:1</v>
      </c>
    </row>
    <row r="199" spans="1:6" ht="21.95" customHeight="1" x14ac:dyDescent="0.3">
      <c r="A199" s="47"/>
      <c r="B199" s="36"/>
      <c r="C199" s="10" t="s">
        <v>13</v>
      </c>
      <c r="D199" s="9">
        <v>1</v>
      </c>
      <c r="E199" s="50">
        <v>2</v>
      </c>
      <c r="F199" s="32" t="str">
        <f t="shared" si="3"/>
        <v>2:1</v>
      </c>
    </row>
    <row r="200" spans="1:6" ht="21.95" customHeight="1" x14ac:dyDescent="0.3">
      <c r="A200" s="47"/>
      <c r="B200" s="36"/>
      <c r="C200" s="10" t="s">
        <v>4</v>
      </c>
      <c r="D200" s="9">
        <v>2</v>
      </c>
      <c r="E200" s="50">
        <v>9</v>
      </c>
      <c r="F200" s="32" t="str">
        <f t="shared" si="3"/>
        <v>4.5:1</v>
      </c>
    </row>
    <row r="201" spans="1:6" ht="21.95" customHeight="1" x14ac:dyDescent="0.3">
      <c r="A201" s="47"/>
      <c r="B201" s="36"/>
      <c r="C201" s="10" t="s">
        <v>14</v>
      </c>
      <c r="D201" s="9">
        <v>1</v>
      </c>
      <c r="E201" s="50">
        <v>3</v>
      </c>
      <c r="F201" s="32" t="str">
        <f t="shared" si="3"/>
        <v>3:1</v>
      </c>
    </row>
    <row r="202" spans="1:6" ht="21.95" customHeight="1" x14ac:dyDescent="0.3">
      <c r="A202" s="47"/>
      <c r="B202" s="36"/>
      <c r="C202" s="10" t="s">
        <v>5</v>
      </c>
      <c r="D202" s="9">
        <v>3</v>
      </c>
      <c r="E202" s="50">
        <v>11</v>
      </c>
      <c r="F202" s="32" t="str">
        <f t="shared" si="3"/>
        <v>3.7:1</v>
      </c>
    </row>
    <row r="203" spans="1:6" ht="21.95" customHeight="1" x14ac:dyDescent="0.3">
      <c r="A203" s="47"/>
      <c r="B203" s="36"/>
      <c r="C203" s="10" t="s">
        <v>16</v>
      </c>
      <c r="D203" s="9">
        <v>3</v>
      </c>
      <c r="E203" s="50">
        <v>6</v>
      </c>
      <c r="F203" s="32" t="str">
        <f t="shared" si="3"/>
        <v>2:1</v>
      </c>
    </row>
    <row r="204" spans="1:6" ht="21.95" customHeight="1" x14ac:dyDescent="0.3">
      <c r="A204" s="47"/>
      <c r="B204" s="36"/>
      <c r="C204" s="10" t="s">
        <v>6</v>
      </c>
      <c r="D204" s="9">
        <v>1</v>
      </c>
      <c r="E204" s="50">
        <v>3</v>
      </c>
      <c r="F204" s="32" t="str">
        <f t="shared" si="3"/>
        <v>3:1</v>
      </c>
    </row>
    <row r="205" spans="1:6" ht="21.95" customHeight="1" x14ac:dyDescent="0.3">
      <c r="A205" s="47"/>
      <c r="B205" s="36"/>
      <c r="C205" s="10" t="s">
        <v>17</v>
      </c>
      <c r="D205" s="9">
        <v>2</v>
      </c>
      <c r="E205" s="50">
        <v>5</v>
      </c>
      <c r="F205" s="32" t="str">
        <f t="shared" si="3"/>
        <v>2.5:1</v>
      </c>
    </row>
    <row r="206" spans="1:6" ht="21.95" customHeight="1" x14ac:dyDescent="0.3">
      <c r="A206" s="47"/>
      <c r="B206" s="36"/>
      <c r="C206" s="10" t="s">
        <v>18</v>
      </c>
      <c r="D206" s="9">
        <v>1</v>
      </c>
      <c r="E206" s="50">
        <v>3</v>
      </c>
      <c r="F206" s="32" t="str">
        <f t="shared" si="3"/>
        <v>3:1</v>
      </c>
    </row>
    <row r="207" spans="1:6" ht="21.95" customHeight="1" x14ac:dyDescent="0.3">
      <c r="A207" s="47"/>
      <c r="B207" s="36"/>
      <c r="C207" s="10" t="s">
        <v>9</v>
      </c>
      <c r="D207" s="9">
        <v>2</v>
      </c>
      <c r="E207" s="50">
        <v>7</v>
      </c>
      <c r="F207" s="32" t="str">
        <f t="shared" si="3"/>
        <v>3.5:1</v>
      </c>
    </row>
    <row r="208" spans="1:6" ht="21.95" customHeight="1" x14ac:dyDescent="0.3">
      <c r="A208" s="47"/>
      <c r="B208" s="36"/>
      <c r="C208" s="10" t="s">
        <v>10</v>
      </c>
      <c r="D208" s="9">
        <v>1</v>
      </c>
      <c r="E208" s="50">
        <v>2</v>
      </c>
      <c r="F208" s="32" t="str">
        <f t="shared" si="3"/>
        <v>2:1</v>
      </c>
    </row>
    <row r="209" spans="1:6" ht="21.95" customHeight="1" x14ac:dyDescent="0.3">
      <c r="A209" s="47"/>
      <c r="B209" s="41" t="s">
        <v>32</v>
      </c>
      <c r="C209" s="41"/>
      <c r="D209" s="12">
        <f>SUM(D210:D220)</f>
        <v>26</v>
      </c>
      <c r="E209" s="49">
        <f>SUM(E210:E220)</f>
        <v>129</v>
      </c>
      <c r="F209" s="31" t="str">
        <f t="shared" si="3"/>
        <v>5:1</v>
      </c>
    </row>
    <row r="210" spans="1:6" ht="21.95" customHeight="1" x14ac:dyDescent="0.3">
      <c r="A210" s="47"/>
      <c r="B210" s="39" t="s">
        <v>80</v>
      </c>
      <c r="C210" s="10" t="s">
        <v>11</v>
      </c>
      <c r="D210" s="15">
        <v>4</v>
      </c>
      <c r="E210" s="50">
        <v>19</v>
      </c>
      <c r="F210" s="32" t="str">
        <f t="shared" si="3"/>
        <v>4.8:1</v>
      </c>
    </row>
    <row r="211" spans="1:6" ht="21.95" customHeight="1" x14ac:dyDescent="0.3">
      <c r="A211" s="47"/>
      <c r="B211" s="40"/>
      <c r="C211" s="10" t="s">
        <v>3</v>
      </c>
      <c r="D211" s="15">
        <v>1</v>
      </c>
      <c r="E211" s="50">
        <v>4</v>
      </c>
      <c r="F211" s="32" t="str">
        <f t="shared" si="3"/>
        <v>4:1</v>
      </c>
    </row>
    <row r="212" spans="1:6" ht="21.95" customHeight="1" x14ac:dyDescent="0.3">
      <c r="A212" s="47"/>
      <c r="B212" s="40"/>
      <c r="C212" s="10" t="s">
        <v>13</v>
      </c>
      <c r="D212" s="15">
        <v>4</v>
      </c>
      <c r="E212" s="50">
        <v>23</v>
      </c>
      <c r="F212" s="32" t="str">
        <f t="shared" si="3"/>
        <v>5.8:1</v>
      </c>
    </row>
    <row r="213" spans="1:6" ht="21.95" customHeight="1" x14ac:dyDescent="0.3">
      <c r="A213" s="47"/>
      <c r="B213" s="40"/>
      <c r="C213" s="10" t="s">
        <v>4</v>
      </c>
      <c r="D213" s="15">
        <v>3</v>
      </c>
      <c r="E213" s="50">
        <v>27</v>
      </c>
      <c r="F213" s="32" t="str">
        <f t="shared" si="3"/>
        <v>9:1</v>
      </c>
    </row>
    <row r="214" spans="1:6" ht="21.95" customHeight="1" x14ac:dyDescent="0.3">
      <c r="A214" s="47"/>
      <c r="B214" s="40"/>
      <c r="C214" s="10" t="s">
        <v>14</v>
      </c>
      <c r="D214" s="15">
        <v>2</v>
      </c>
      <c r="E214" s="50">
        <v>6</v>
      </c>
      <c r="F214" s="32" t="str">
        <f t="shared" si="3"/>
        <v>3:1</v>
      </c>
    </row>
    <row r="215" spans="1:6" ht="21.95" customHeight="1" x14ac:dyDescent="0.3">
      <c r="A215" s="47"/>
      <c r="B215" s="40"/>
      <c r="C215" s="10" t="s">
        <v>16</v>
      </c>
      <c r="D215" s="15">
        <v>1</v>
      </c>
      <c r="E215" s="50">
        <v>5</v>
      </c>
      <c r="F215" s="32" t="str">
        <f t="shared" si="3"/>
        <v>5:1</v>
      </c>
    </row>
    <row r="216" spans="1:6" ht="21.95" customHeight="1" x14ac:dyDescent="0.3">
      <c r="A216" s="47"/>
      <c r="B216" s="40"/>
      <c r="C216" s="10" t="s">
        <v>6</v>
      </c>
      <c r="D216" s="15">
        <v>2</v>
      </c>
      <c r="E216" s="50">
        <v>9</v>
      </c>
      <c r="F216" s="32" t="str">
        <f t="shared" si="3"/>
        <v>4.5:1</v>
      </c>
    </row>
    <row r="217" spans="1:6" ht="21.95" customHeight="1" x14ac:dyDescent="0.3">
      <c r="A217" s="47"/>
      <c r="B217" s="40"/>
      <c r="C217" s="10" t="s">
        <v>7</v>
      </c>
      <c r="D217" s="15">
        <v>2</v>
      </c>
      <c r="E217" s="50">
        <v>11</v>
      </c>
      <c r="F217" s="32" t="str">
        <f t="shared" si="3"/>
        <v>5.5:1</v>
      </c>
    </row>
    <row r="218" spans="1:6" ht="21.95" customHeight="1" x14ac:dyDescent="0.3">
      <c r="A218" s="47"/>
      <c r="B218" s="40"/>
      <c r="C218" s="10" t="s">
        <v>8</v>
      </c>
      <c r="D218" s="15">
        <v>2</v>
      </c>
      <c r="E218" s="50">
        <v>4</v>
      </c>
      <c r="F218" s="32" t="str">
        <f t="shared" si="3"/>
        <v>2:1</v>
      </c>
    </row>
    <row r="219" spans="1:6" ht="21.95" customHeight="1" x14ac:dyDescent="0.3">
      <c r="A219" s="47"/>
      <c r="B219" s="40"/>
      <c r="C219" s="10" t="s">
        <v>17</v>
      </c>
      <c r="D219" s="15">
        <v>3</v>
      </c>
      <c r="E219" s="50">
        <v>12</v>
      </c>
      <c r="F219" s="32" t="str">
        <f t="shared" si="3"/>
        <v>4:1</v>
      </c>
    </row>
    <row r="220" spans="1:6" ht="21.95" customHeight="1" x14ac:dyDescent="0.3">
      <c r="A220" s="47"/>
      <c r="B220" s="42"/>
      <c r="C220" s="10" t="s">
        <v>18</v>
      </c>
      <c r="D220" s="15">
        <v>2</v>
      </c>
      <c r="E220" s="50">
        <v>9</v>
      </c>
      <c r="F220" s="32" t="str">
        <f t="shared" si="3"/>
        <v>4.5:1</v>
      </c>
    </row>
    <row r="221" spans="1:6" ht="21.95" customHeight="1" x14ac:dyDescent="0.3">
      <c r="A221" s="47"/>
      <c r="B221" s="41" t="s">
        <v>32</v>
      </c>
      <c r="C221" s="41"/>
      <c r="D221" s="12">
        <f>SUM(D222:D224)</f>
        <v>5</v>
      </c>
      <c r="E221" s="49">
        <f>SUM(E222:E224)</f>
        <v>22</v>
      </c>
      <c r="F221" s="31" t="str">
        <f t="shared" si="3"/>
        <v>4.4:1</v>
      </c>
    </row>
    <row r="222" spans="1:6" ht="21.95" customHeight="1" x14ac:dyDescent="0.3">
      <c r="A222" s="47"/>
      <c r="B222" s="39" t="s">
        <v>81</v>
      </c>
      <c r="C222" s="10" t="s">
        <v>4</v>
      </c>
      <c r="D222" s="9">
        <v>3</v>
      </c>
      <c r="E222" s="50">
        <v>16</v>
      </c>
      <c r="F222" s="32" t="str">
        <f t="shared" si="3"/>
        <v>5.3:1</v>
      </c>
    </row>
    <row r="223" spans="1:6" ht="21.95" customHeight="1" x14ac:dyDescent="0.3">
      <c r="A223" s="47"/>
      <c r="B223" s="40"/>
      <c r="C223" s="10" t="s">
        <v>14</v>
      </c>
      <c r="D223" s="9">
        <v>1</v>
      </c>
      <c r="E223" s="50">
        <v>1</v>
      </c>
      <c r="F223" s="32" t="str">
        <f t="shared" si="3"/>
        <v>1:1</v>
      </c>
    </row>
    <row r="224" spans="1:6" ht="21.95" customHeight="1" x14ac:dyDescent="0.3">
      <c r="A224" s="47"/>
      <c r="B224" s="42"/>
      <c r="C224" s="10" t="s">
        <v>9</v>
      </c>
      <c r="D224" s="9">
        <v>1</v>
      </c>
      <c r="E224" s="50">
        <v>5</v>
      </c>
      <c r="F224" s="32" t="str">
        <f t="shared" si="3"/>
        <v>5:1</v>
      </c>
    </row>
    <row r="225" spans="1:6" ht="21.95" customHeight="1" x14ac:dyDescent="0.3">
      <c r="A225" s="47"/>
      <c r="B225" s="41" t="s">
        <v>32</v>
      </c>
      <c r="C225" s="41"/>
      <c r="D225" s="12">
        <f>SUM(D226:D229)</f>
        <v>7</v>
      </c>
      <c r="E225" s="49">
        <f>SUM(E226:E229)</f>
        <v>44</v>
      </c>
      <c r="F225" s="31" t="str">
        <f t="shared" si="3"/>
        <v>6.3:1</v>
      </c>
    </row>
    <row r="226" spans="1:6" ht="21.95" customHeight="1" x14ac:dyDescent="0.3">
      <c r="A226" s="47"/>
      <c r="B226" s="39" t="s">
        <v>82</v>
      </c>
      <c r="C226" s="10" t="s">
        <v>11</v>
      </c>
      <c r="D226" s="15">
        <v>3</v>
      </c>
      <c r="E226" s="51">
        <v>22</v>
      </c>
      <c r="F226" s="32" t="str">
        <f t="shared" si="3"/>
        <v>7.3:1</v>
      </c>
    </row>
    <row r="227" spans="1:6" ht="21.95" customHeight="1" x14ac:dyDescent="0.3">
      <c r="A227" s="47"/>
      <c r="B227" s="40"/>
      <c r="C227" s="10" t="s">
        <v>4</v>
      </c>
      <c r="D227" s="15">
        <v>2</v>
      </c>
      <c r="E227" s="51">
        <v>11</v>
      </c>
      <c r="F227" s="32" t="str">
        <f t="shared" si="3"/>
        <v>5.5:1</v>
      </c>
    </row>
    <row r="228" spans="1:6" ht="21.95" customHeight="1" x14ac:dyDescent="0.3">
      <c r="A228" s="47"/>
      <c r="B228" s="40"/>
      <c r="C228" s="10" t="s">
        <v>14</v>
      </c>
      <c r="D228" s="15">
        <v>1</v>
      </c>
      <c r="E228" s="51">
        <v>6</v>
      </c>
      <c r="F228" s="32" t="str">
        <f t="shared" si="3"/>
        <v>6:1</v>
      </c>
    </row>
    <row r="229" spans="1:6" ht="21.95" customHeight="1" x14ac:dyDescent="0.3">
      <c r="A229" s="47"/>
      <c r="B229" s="42"/>
      <c r="C229" s="10" t="s">
        <v>10</v>
      </c>
      <c r="D229" s="15">
        <v>1</v>
      </c>
      <c r="E229" s="51">
        <v>5</v>
      </c>
      <c r="F229" s="32" t="str">
        <f t="shared" si="3"/>
        <v>5:1</v>
      </c>
    </row>
    <row r="230" spans="1:6" ht="21.95" customHeight="1" x14ac:dyDescent="0.3">
      <c r="A230" s="47"/>
      <c r="B230" s="41" t="s">
        <v>32</v>
      </c>
      <c r="C230" s="41"/>
      <c r="D230" s="12">
        <f>SUM(D231:D234)</f>
        <v>5</v>
      </c>
      <c r="E230" s="49">
        <f>SUM(E231:E234)</f>
        <v>14</v>
      </c>
      <c r="F230" s="31" t="str">
        <f t="shared" si="3"/>
        <v>2.8:1</v>
      </c>
    </row>
    <row r="231" spans="1:6" ht="21.95" customHeight="1" x14ac:dyDescent="0.3">
      <c r="A231" s="47"/>
      <c r="B231" s="39" t="s">
        <v>83</v>
      </c>
      <c r="C231" s="10" t="s">
        <v>11</v>
      </c>
      <c r="D231" s="9">
        <v>1</v>
      </c>
      <c r="E231" s="51">
        <v>4</v>
      </c>
      <c r="F231" s="32" t="str">
        <f t="shared" si="3"/>
        <v>4:1</v>
      </c>
    </row>
    <row r="232" spans="1:6" ht="21.95" customHeight="1" x14ac:dyDescent="0.3">
      <c r="A232" s="47"/>
      <c r="B232" s="40"/>
      <c r="C232" s="10" t="s">
        <v>13</v>
      </c>
      <c r="D232" s="9">
        <v>2</v>
      </c>
      <c r="E232" s="51">
        <v>5</v>
      </c>
      <c r="F232" s="32" t="str">
        <f t="shared" si="3"/>
        <v>2.5:1</v>
      </c>
    </row>
    <row r="233" spans="1:6" ht="21.95" customHeight="1" x14ac:dyDescent="0.3">
      <c r="A233" s="47"/>
      <c r="B233" s="40"/>
      <c r="C233" s="10" t="s">
        <v>14</v>
      </c>
      <c r="D233" s="9">
        <v>1</v>
      </c>
      <c r="E233" s="51">
        <v>4</v>
      </c>
      <c r="F233" s="32" t="str">
        <f t="shared" si="3"/>
        <v>4:1</v>
      </c>
    </row>
    <row r="234" spans="1:6" ht="21.95" customHeight="1" x14ac:dyDescent="0.3">
      <c r="A234" s="47"/>
      <c r="B234" s="42"/>
      <c r="C234" s="10" t="s">
        <v>10</v>
      </c>
      <c r="D234" s="9">
        <v>1</v>
      </c>
      <c r="E234" s="51">
        <v>1</v>
      </c>
      <c r="F234" s="32" t="str">
        <f t="shared" si="3"/>
        <v>1:1</v>
      </c>
    </row>
    <row r="235" spans="1:6" ht="21.95" customHeight="1" x14ac:dyDescent="0.3">
      <c r="A235" s="47"/>
      <c r="B235" s="41" t="s">
        <v>32</v>
      </c>
      <c r="C235" s="41"/>
      <c r="D235" s="12">
        <f>SUM(D236:D249)</f>
        <v>27</v>
      </c>
      <c r="E235" s="49">
        <f>SUM(E236:E249)</f>
        <v>365</v>
      </c>
      <c r="F235" s="31" t="str">
        <f t="shared" si="3"/>
        <v>13.5:1</v>
      </c>
    </row>
    <row r="236" spans="1:6" ht="21.95" customHeight="1" x14ac:dyDescent="0.3">
      <c r="A236" s="47"/>
      <c r="B236" s="39" t="s">
        <v>84</v>
      </c>
      <c r="C236" s="10" t="s">
        <v>3</v>
      </c>
      <c r="D236" s="15">
        <v>4</v>
      </c>
      <c r="E236" s="50">
        <v>72</v>
      </c>
      <c r="F236" s="32" t="str">
        <f t="shared" si="3"/>
        <v>18:1</v>
      </c>
    </row>
    <row r="237" spans="1:6" ht="21.95" customHeight="1" x14ac:dyDescent="0.3">
      <c r="A237" s="47"/>
      <c r="B237" s="40"/>
      <c r="C237" s="10" t="s">
        <v>12</v>
      </c>
      <c r="D237" s="15">
        <v>4</v>
      </c>
      <c r="E237" s="50">
        <v>44</v>
      </c>
      <c r="F237" s="32" t="str">
        <f t="shared" si="3"/>
        <v>11:1</v>
      </c>
    </row>
    <row r="238" spans="1:6" ht="21.95" customHeight="1" x14ac:dyDescent="0.3">
      <c r="A238" s="47"/>
      <c r="B238" s="40"/>
      <c r="C238" s="10" t="s">
        <v>13</v>
      </c>
      <c r="D238" s="15">
        <v>2</v>
      </c>
      <c r="E238" s="50">
        <v>21</v>
      </c>
      <c r="F238" s="32" t="str">
        <f t="shared" si="3"/>
        <v>10.5:1</v>
      </c>
    </row>
    <row r="239" spans="1:6" ht="21.95" customHeight="1" x14ac:dyDescent="0.3">
      <c r="A239" s="47"/>
      <c r="B239" s="40"/>
      <c r="C239" s="10" t="s">
        <v>4</v>
      </c>
      <c r="D239" s="15">
        <v>2</v>
      </c>
      <c r="E239" s="50">
        <v>29</v>
      </c>
      <c r="F239" s="32" t="str">
        <f t="shared" si="3"/>
        <v>14.5:1</v>
      </c>
    </row>
    <row r="240" spans="1:6" ht="21.95" customHeight="1" x14ac:dyDescent="0.3">
      <c r="A240" s="47"/>
      <c r="B240" s="40"/>
      <c r="C240" s="10" t="s">
        <v>14</v>
      </c>
      <c r="D240" s="15">
        <v>1</v>
      </c>
      <c r="E240" s="50">
        <v>24</v>
      </c>
      <c r="F240" s="32" t="str">
        <f t="shared" si="3"/>
        <v>24:1</v>
      </c>
    </row>
    <row r="241" spans="1:6" ht="21.95" customHeight="1" x14ac:dyDescent="0.3">
      <c r="A241" s="47"/>
      <c r="B241" s="40"/>
      <c r="C241" s="10" t="s">
        <v>5</v>
      </c>
      <c r="D241" s="15">
        <v>1</v>
      </c>
      <c r="E241" s="50">
        <v>14</v>
      </c>
      <c r="F241" s="32" t="str">
        <f t="shared" si="3"/>
        <v>14:1</v>
      </c>
    </row>
    <row r="242" spans="1:6" ht="21.95" customHeight="1" x14ac:dyDescent="0.3">
      <c r="A242" s="47"/>
      <c r="B242" s="40"/>
      <c r="C242" s="10" t="s">
        <v>16</v>
      </c>
      <c r="D242" s="15">
        <v>1</v>
      </c>
      <c r="E242" s="50">
        <v>17</v>
      </c>
      <c r="F242" s="32" t="str">
        <f t="shared" si="3"/>
        <v>17:1</v>
      </c>
    </row>
    <row r="243" spans="1:6" ht="21.95" customHeight="1" x14ac:dyDescent="0.3">
      <c r="A243" s="47"/>
      <c r="B243" s="40"/>
      <c r="C243" s="10" t="s">
        <v>6</v>
      </c>
      <c r="D243" s="15">
        <v>1</v>
      </c>
      <c r="E243" s="50">
        <v>7</v>
      </c>
      <c r="F243" s="32" t="str">
        <f t="shared" si="3"/>
        <v>7:1</v>
      </c>
    </row>
    <row r="244" spans="1:6" ht="21.95" customHeight="1" x14ac:dyDescent="0.3">
      <c r="A244" s="47"/>
      <c r="B244" s="40"/>
      <c r="C244" s="10" t="s">
        <v>7</v>
      </c>
      <c r="D244" s="15">
        <v>1</v>
      </c>
      <c r="E244" s="50">
        <v>8</v>
      </c>
      <c r="F244" s="32" t="str">
        <f t="shared" si="3"/>
        <v>8:1</v>
      </c>
    </row>
    <row r="245" spans="1:6" ht="21.95" customHeight="1" x14ac:dyDescent="0.3">
      <c r="A245" s="47"/>
      <c r="B245" s="40"/>
      <c r="C245" s="10" t="s">
        <v>8</v>
      </c>
      <c r="D245" s="15">
        <v>3</v>
      </c>
      <c r="E245" s="50">
        <v>28</v>
      </c>
      <c r="F245" s="32" t="str">
        <f t="shared" si="3"/>
        <v>9.3:1</v>
      </c>
    </row>
    <row r="246" spans="1:6" ht="21.95" customHeight="1" x14ac:dyDescent="0.3">
      <c r="A246" s="47"/>
      <c r="B246" s="40"/>
      <c r="C246" s="10" t="s">
        <v>17</v>
      </c>
      <c r="D246" s="15">
        <v>1</v>
      </c>
      <c r="E246" s="50">
        <v>4</v>
      </c>
      <c r="F246" s="32" t="str">
        <f t="shared" si="3"/>
        <v>4:1</v>
      </c>
    </row>
    <row r="247" spans="1:6" ht="21.95" customHeight="1" x14ac:dyDescent="0.3">
      <c r="A247" s="47"/>
      <c r="B247" s="40"/>
      <c r="C247" s="10" t="s">
        <v>18</v>
      </c>
      <c r="D247" s="15">
        <v>1</v>
      </c>
      <c r="E247" s="50">
        <v>26</v>
      </c>
      <c r="F247" s="32" t="str">
        <f t="shared" si="3"/>
        <v>26:1</v>
      </c>
    </row>
    <row r="248" spans="1:6" ht="21.75" customHeight="1" x14ac:dyDescent="0.3">
      <c r="A248" s="47"/>
      <c r="B248" s="40"/>
      <c r="C248" s="10" t="s">
        <v>9</v>
      </c>
      <c r="D248" s="15">
        <v>2</v>
      </c>
      <c r="E248" s="50">
        <v>26</v>
      </c>
      <c r="F248" s="32" t="str">
        <f t="shared" si="3"/>
        <v>13:1</v>
      </c>
    </row>
    <row r="249" spans="1:6" ht="21.75" customHeight="1" x14ac:dyDescent="0.3">
      <c r="A249" s="47"/>
      <c r="B249" s="42"/>
      <c r="C249" s="10" t="s">
        <v>10</v>
      </c>
      <c r="D249" s="15">
        <v>3</v>
      </c>
      <c r="E249" s="50">
        <v>45</v>
      </c>
      <c r="F249" s="32" t="str">
        <f t="shared" si="3"/>
        <v>15:1</v>
      </c>
    </row>
    <row r="250" spans="1:6" ht="21.75" customHeight="1" x14ac:dyDescent="0.3">
      <c r="A250" s="47"/>
      <c r="B250" s="41" t="s">
        <v>32</v>
      </c>
      <c r="C250" s="41"/>
      <c r="D250" s="12">
        <v>1</v>
      </c>
      <c r="E250" s="49">
        <v>3</v>
      </c>
      <c r="F250" s="31" t="str">
        <f t="shared" si="3"/>
        <v>3:1</v>
      </c>
    </row>
    <row r="251" spans="1:6" ht="21.75" customHeight="1" x14ac:dyDescent="0.3">
      <c r="A251" s="47"/>
      <c r="B251" s="10" t="s">
        <v>86</v>
      </c>
      <c r="C251" s="10" t="s">
        <v>18</v>
      </c>
      <c r="D251" s="11">
        <v>1</v>
      </c>
      <c r="E251" s="51">
        <v>3</v>
      </c>
      <c r="F251" s="32" t="str">
        <f t="shared" ref="F251:F314" si="4">ROUND(E251/D251,1)&amp;":1"</f>
        <v>3:1</v>
      </c>
    </row>
    <row r="252" spans="1:6" ht="21.95" customHeight="1" x14ac:dyDescent="0.3">
      <c r="A252" s="47"/>
      <c r="B252" s="41" t="s">
        <v>32</v>
      </c>
      <c r="C252" s="41"/>
      <c r="D252" s="12">
        <v>1</v>
      </c>
      <c r="E252" s="49">
        <v>2</v>
      </c>
      <c r="F252" s="31" t="str">
        <f t="shared" si="4"/>
        <v>2:1</v>
      </c>
    </row>
    <row r="253" spans="1:6" ht="21.95" customHeight="1" x14ac:dyDescent="0.3">
      <c r="A253" s="47"/>
      <c r="B253" s="10" t="s">
        <v>85</v>
      </c>
      <c r="C253" s="10" t="s">
        <v>16</v>
      </c>
      <c r="D253" s="11">
        <v>1</v>
      </c>
      <c r="E253" s="51">
        <v>2</v>
      </c>
      <c r="F253" s="32" t="str">
        <f t="shared" si="4"/>
        <v>2:1</v>
      </c>
    </row>
    <row r="254" spans="1:6" ht="21.95" customHeight="1" x14ac:dyDescent="0.3">
      <c r="A254" s="47"/>
      <c r="B254" s="41" t="s">
        <v>32</v>
      </c>
      <c r="C254" s="41"/>
      <c r="D254" s="12">
        <f>SUM(D255:D268)</f>
        <v>34</v>
      </c>
      <c r="E254" s="49">
        <f>SUM(E255:E268)</f>
        <v>149</v>
      </c>
      <c r="F254" s="31" t="str">
        <f t="shared" si="4"/>
        <v>4.4:1</v>
      </c>
    </row>
    <row r="255" spans="1:6" ht="21.95" customHeight="1" x14ac:dyDescent="0.3">
      <c r="A255" s="47"/>
      <c r="B255" s="36" t="s">
        <v>87</v>
      </c>
      <c r="C255" s="10" t="s">
        <v>11</v>
      </c>
      <c r="D255" s="9">
        <v>3</v>
      </c>
      <c r="E255" s="50">
        <v>27</v>
      </c>
      <c r="F255" s="32" t="str">
        <f t="shared" si="4"/>
        <v>9:1</v>
      </c>
    </row>
    <row r="256" spans="1:6" ht="21.95" customHeight="1" x14ac:dyDescent="0.3">
      <c r="A256" s="47"/>
      <c r="B256" s="36"/>
      <c r="C256" s="10" t="s">
        <v>3</v>
      </c>
      <c r="D256" s="9">
        <v>1</v>
      </c>
      <c r="E256" s="50">
        <v>8</v>
      </c>
      <c r="F256" s="32" t="str">
        <f t="shared" si="4"/>
        <v>8:1</v>
      </c>
    </row>
    <row r="257" spans="1:6" ht="21.95" customHeight="1" x14ac:dyDescent="0.3">
      <c r="A257" s="47"/>
      <c r="B257" s="36"/>
      <c r="C257" s="10" t="s">
        <v>12</v>
      </c>
      <c r="D257" s="9">
        <v>2</v>
      </c>
      <c r="E257" s="50">
        <v>16</v>
      </c>
      <c r="F257" s="32" t="str">
        <f t="shared" si="4"/>
        <v>8:1</v>
      </c>
    </row>
    <row r="258" spans="1:6" ht="21.95" customHeight="1" x14ac:dyDescent="0.3">
      <c r="A258" s="47"/>
      <c r="B258" s="36"/>
      <c r="C258" s="10" t="s">
        <v>13</v>
      </c>
      <c r="D258" s="9">
        <v>4</v>
      </c>
      <c r="E258" s="50">
        <v>11</v>
      </c>
      <c r="F258" s="32" t="str">
        <f t="shared" si="4"/>
        <v>2.8:1</v>
      </c>
    </row>
    <row r="259" spans="1:6" ht="21.95" customHeight="1" x14ac:dyDescent="0.3">
      <c r="A259" s="47"/>
      <c r="B259" s="36"/>
      <c r="C259" s="10" t="s">
        <v>4</v>
      </c>
      <c r="D259" s="9">
        <v>6</v>
      </c>
      <c r="E259" s="50">
        <v>29</v>
      </c>
      <c r="F259" s="32" t="str">
        <f t="shared" si="4"/>
        <v>4.8:1</v>
      </c>
    </row>
    <row r="260" spans="1:6" ht="21.95" customHeight="1" x14ac:dyDescent="0.3">
      <c r="A260" s="47"/>
      <c r="B260" s="36"/>
      <c r="C260" s="10" t="s">
        <v>14</v>
      </c>
      <c r="D260" s="9">
        <v>2</v>
      </c>
      <c r="E260" s="50">
        <v>5</v>
      </c>
      <c r="F260" s="32" t="str">
        <f t="shared" si="4"/>
        <v>2.5:1</v>
      </c>
    </row>
    <row r="261" spans="1:6" ht="21.95" customHeight="1" x14ac:dyDescent="0.3">
      <c r="A261" s="47"/>
      <c r="B261" s="36"/>
      <c r="C261" s="10" t="s">
        <v>5</v>
      </c>
      <c r="D261" s="9">
        <v>4</v>
      </c>
      <c r="E261" s="50">
        <v>17</v>
      </c>
      <c r="F261" s="32" t="str">
        <f t="shared" si="4"/>
        <v>4.3:1</v>
      </c>
    </row>
    <row r="262" spans="1:6" ht="21.95" customHeight="1" x14ac:dyDescent="0.3">
      <c r="A262" s="47"/>
      <c r="B262" s="36"/>
      <c r="C262" s="10" t="s">
        <v>15</v>
      </c>
      <c r="D262" s="9">
        <v>1</v>
      </c>
      <c r="E262" s="50">
        <v>5</v>
      </c>
      <c r="F262" s="32" t="str">
        <f t="shared" si="4"/>
        <v>5:1</v>
      </c>
    </row>
    <row r="263" spans="1:6" ht="21.95" customHeight="1" x14ac:dyDescent="0.3">
      <c r="A263" s="47"/>
      <c r="B263" s="36"/>
      <c r="C263" s="10" t="s">
        <v>16</v>
      </c>
      <c r="D263" s="9">
        <v>2</v>
      </c>
      <c r="E263" s="50">
        <v>8</v>
      </c>
      <c r="F263" s="32" t="str">
        <f t="shared" si="4"/>
        <v>4:1</v>
      </c>
    </row>
    <row r="264" spans="1:6" ht="21.95" customHeight="1" x14ac:dyDescent="0.3">
      <c r="A264" s="47"/>
      <c r="B264" s="36"/>
      <c r="C264" s="10" t="s">
        <v>6</v>
      </c>
      <c r="D264" s="9">
        <v>3</v>
      </c>
      <c r="E264" s="50">
        <v>6</v>
      </c>
      <c r="F264" s="32" t="str">
        <f t="shared" si="4"/>
        <v>2:1</v>
      </c>
    </row>
    <row r="265" spans="1:6" ht="21.95" customHeight="1" x14ac:dyDescent="0.3">
      <c r="A265" s="47"/>
      <c r="B265" s="36"/>
      <c r="C265" s="10" t="s">
        <v>17</v>
      </c>
      <c r="D265" s="9">
        <v>2</v>
      </c>
      <c r="E265" s="50">
        <v>12</v>
      </c>
      <c r="F265" s="32" t="str">
        <f t="shared" si="4"/>
        <v>6:1</v>
      </c>
    </row>
    <row r="266" spans="1:6" ht="21.95" customHeight="1" x14ac:dyDescent="0.3">
      <c r="A266" s="47"/>
      <c r="B266" s="36"/>
      <c r="C266" s="10" t="s">
        <v>18</v>
      </c>
      <c r="D266" s="9">
        <v>1</v>
      </c>
      <c r="E266" s="50">
        <v>1</v>
      </c>
      <c r="F266" s="32" t="str">
        <f t="shared" si="4"/>
        <v>1:1</v>
      </c>
    </row>
    <row r="267" spans="1:6" ht="21.95" customHeight="1" x14ac:dyDescent="0.3">
      <c r="A267" s="47"/>
      <c r="B267" s="36"/>
      <c r="C267" s="10" t="s">
        <v>9</v>
      </c>
      <c r="D267" s="9">
        <v>2</v>
      </c>
      <c r="E267" s="50">
        <v>3</v>
      </c>
      <c r="F267" s="32" t="str">
        <f t="shared" si="4"/>
        <v>1.5:1</v>
      </c>
    </row>
    <row r="268" spans="1:6" ht="21.95" customHeight="1" x14ac:dyDescent="0.3">
      <c r="A268" s="47"/>
      <c r="B268" s="36"/>
      <c r="C268" s="10" t="s">
        <v>10</v>
      </c>
      <c r="D268" s="9">
        <v>1</v>
      </c>
      <c r="E268" s="50">
        <v>1</v>
      </c>
      <c r="F268" s="32" t="str">
        <f t="shared" si="4"/>
        <v>1:1</v>
      </c>
    </row>
    <row r="269" spans="1:6" ht="21.95" customHeight="1" x14ac:dyDescent="0.3">
      <c r="A269" s="47"/>
      <c r="B269" s="41" t="s">
        <v>32</v>
      </c>
      <c r="C269" s="41"/>
      <c r="D269" s="12">
        <f>SUM(D270:D283)</f>
        <v>76</v>
      </c>
      <c r="E269" s="49">
        <f>SUM(E270:E283)</f>
        <v>255</v>
      </c>
      <c r="F269" s="31" t="str">
        <f t="shared" si="4"/>
        <v>3.4:1</v>
      </c>
    </row>
    <row r="270" spans="1:6" ht="21.95" customHeight="1" x14ac:dyDescent="0.3">
      <c r="A270" s="47"/>
      <c r="B270" s="36" t="s">
        <v>25</v>
      </c>
      <c r="C270" s="10" t="s">
        <v>3</v>
      </c>
      <c r="D270" s="15">
        <v>4</v>
      </c>
      <c r="E270" s="50">
        <v>20</v>
      </c>
      <c r="F270" s="32" t="str">
        <f t="shared" si="4"/>
        <v>5:1</v>
      </c>
    </row>
    <row r="271" spans="1:6" ht="21.95" customHeight="1" x14ac:dyDescent="0.3">
      <c r="A271" s="47"/>
      <c r="B271" s="36"/>
      <c r="C271" s="10" t="s">
        <v>12</v>
      </c>
      <c r="D271" s="15">
        <v>6</v>
      </c>
      <c r="E271" s="50">
        <v>21</v>
      </c>
      <c r="F271" s="32" t="str">
        <f t="shared" si="4"/>
        <v>3.5:1</v>
      </c>
    </row>
    <row r="272" spans="1:6" ht="21.95" customHeight="1" x14ac:dyDescent="0.3">
      <c r="A272" s="47"/>
      <c r="B272" s="36"/>
      <c r="C272" s="10" t="s">
        <v>4</v>
      </c>
      <c r="D272" s="15">
        <v>12</v>
      </c>
      <c r="E272" s="50">
        <v>49</v>
      </c>
      <c r="F272" s="32" t="str">
        <f t="shared" si="4"/>
        <v>4.1:1</v>
      </c>
    </row>
    <row r="273" spans="1:6" ht="21.95" customHeight="1" x14ac:dyDescent="0.3">
      <c r="A273" s="47"/>
      <c r="B273" s="36"/>
      <c r="C273" s="10" t="s">
        <v>14</v>
      </c>
      <c r="D273" s="15">
        <v>12</v>
      </c>
      <c r="E273" s="50">
        <v>25</v>
      </c>
      <c r="F273" s="32" t="str">
        <f t="shared" si="4"/>
        <v>2.1:1</v>
      </c>
    </row>
    <row r="274" spans="1:6" ht="21.95" customHeight="1" x14ac:dyDescent="0.3">
      <c r="A274" s="47"/>
      <c r="B274" s="36"/>
      <c r="C274" s="10" t="s">
        <v>5</v>
      </c>
      <c r="D274" s="15">
        <v>3</v>
      </c>
      <c r="E274" s="50">
        <v>6</v>
      </c>
      <c r="F274" s="32" t="str">
        <f t="shared" si="4"/>
        <v>2:1</v>
      </c>
    </row>
    <row r="275" spans="1:6" ht="21.95" customHeight="1" x14ac:dyDescent="0.3">
      <c r="A275" s="47"/>
      <c r="B275" s="36"/>
      <c r="C275" s="10" t="s">
        <v>15</v>
      </c>
      <c r="D275" s="15">
        <v>1</v>
      </c>
      <c r="E275" s="50">
        <v>6</v>
      </c>
      <c r="F275" s="32" t="str">
        <f t="shared" si="4"/>
        <v>6:1</v>
      </c>
    </row>
    <row r="276" spans="1:6" ht="21.95" customHeight="1" x14ac:dyDescent="0.3">
      <c r="A276" s="47"/>
      <c r="B276" s="36"/>
      <c r="C276" s="10" t="s">
        <v>16</v>
      </c>
      <c r="D276" s="15">
        <v>3</v>
      </c>
      <c r="E276" s="50">
        <v>7</v>
      </c>
      <c r="F276" s="32" t="str">
        <f t="shared" si="4"/>
        <v>2.3:1</v>
      </c>
    </row>
    <row r="277" spans="1:6" ht="21.95" customHeight="1" x14ac:dyDescent="0.3">
      <c r="A277" s="47"/>
      <c r="B277" s="36"/>
      <c r="C277" s="10" t="s">
        <v>6</v>
      </c>
      <c r="D277" s="15">
        <v>6</v>
      </c>
      <c r="E277" s="50">
        <v>18</v>
      </c>
      <c r="F277" s="32" t="str">
        <f t="shared" si="4"/>
        <v>3:1</v>
      </c>
    </row>
    <row r="278" spans="1:6" ht="21.95" customHeight="1" x14ac:dyDescent="0.3">
      <c r="A278" s="47"/>
      <c r="B278" s="36"/>
      <c r="C278" s="10" t="s">
        <v>7</v>
      </c>
      <c r="D278" s="15">
        <v>2</v>
      </c>
      <c r="E278" s="50">
        <v>13</v>
      </c>
      <c r="F278" s="32" t="str">
        <f t="shared" si="4"/>
        <v>6.5:1</v>
      </c>
    </row>
    <row r="279" spans="1:6" ht="21.95" customHeight="1" x14ac:dyDescent="0.3">
      <c r="A279" s="47"/>
      <c r="B279" s="36"/>
      <c r="C279" s="10" t="s">
        <v>8</v>
      </c>
      <c r="D279" s="15">
        <v>4</v>
      </c>
      <c r="E279" s="50">
        <v>7</v>
      </c>
      <c r="F279" s="32" t="str">
        <f t="shared" si="4"/>
        <v>1.8:1</v>
      </c>
    </row>
    <row r="280" spans="1:6" ht="21.95" customHeight="1" x14ac:dyDescent="0.3">
      <c r="A280" s="47"/>
      <c r="B280" s="36"/>
      <c r="C280" s="10" t="s">
        <v>17</v>
      </c>
      <c r="D280" s="15">
        <v>4</v>
      </c>
      <c r="E280" s="50">
        <v>10</v>
      </c>
      <c r="F280" s="32" t="str">
        <f t="shared" si="4"/>
        <v>2.5:1</v>
      </c>
    </row>
    <row r="281" spans="1:6" ht="21.95" customHeight="1" x14ac:dyDescent="0.3">
      <c r="A281" s="47"/>
      <c r="B281" s="36"/>
      <c r="C281" s="10" t="s">
        <v>18</v>
      </c>
      <c r="D281" s="15">
        <v>4</v>
      </c>
      <c r="E281" s="50">
        <v>15</v>
      </c>
      <c r="F281" s="32" t="str">
        <f t="shared" si="4"/>
        <v>3.8:1</v>
      </c>
    </row>
    <row r="282" spans="1:6" ht="21.95" customHeight="1" x14ac:dyDescent="0.3">
      <c r="A282" s="47"/>
      <c r="B282" s="36"/>
      <c r="C282" s="10" t="s">
        <v>9</v>
      </c>
      <c r="D282" s="15">
        <v>8</v>
      </c>
      <c r="E282" s="50">
        <v>45</v>
      </c>
      <c r="F282" s="32" t="str">
        <f t="shared" si="4"/>
        <v>5.6:1</v>
      </c>
    </row>
    <row r="283" spans="1:6" ht="21.95" customHeight="1" x14ac:dyDescent="0.3">
      <c r="A283" s="47"/>
      <c r="B283" s="36"/>
      <c r="C283" s="10" t="s">
        <v>10</v>
      </c>
      <c r="D283" s="15">
        <v>7</v>
      </c>
      <c r="E283" s="50">
        <v>13</v>
      </c>
      <c r="F283" s="32" t="str">
        <f t="shared" si="4"/>
        <v>1.9:1</v>
      </c>
    </row>
    <row r="284" spans="1:6" ht="21.95" customHeight="1" x14ac:dyDescent="0.3">
      <c r="A284" s="47"/>
      <c r="B284" s="41" t="s">
        <v>32</v>
      </c>
      <c r="C284" s="41"/>
      <c r="D284" s="12">
        <v>1</v>
      </c>
      <c r="E284" s="49">
        <v>0</v>
      </c>
      <c r="F284" s="31" t="str">
        <f t="shared" si="4"/>
        <v>0:1</v>
      </c>
    </row>
    <row r="285" spans="1:6" ht="21.95" customHeight="1" x14ac:dyDescent="0.3">
      <c r="A285" s="47"/>
      <c r="B285" s="10" t="s">
        <v>88</v>
      </c>
      <c r="C285" s="10" t="s">
        <v>16</v>
      </c>
      <c r="D285" s="11">
        <v>1</v>
      </c>
      <c r="E285" s="51">
        <v>0</v>
      </c>
      <c r="F285" s="32" t="str">
        <f t="shared" si="4"/>
        <v>0:1</v>
      </c>
    </row>
    <row r="286" spans="1:6" ht="21.95" customHeight="1" x14ac:dyDescent="0.3">
      <c r="A286" s="47"/>
      <c r="B286" s="41" t="s">
        <v>32</v>
      </c>
      <c r="C286" s="41"/>
      <c r="D286" s="12">
        <f>SUM(D287:D300)</f>
        <v>41</v>
      </c>
      <c r="E286" s="49">
        <f>SUM(E287:E300)</f>
        <v>128</v>
      </c>
      <c r="F286" s="31" t="str">
        <f t="shared" si="4"/>
        <v>3.1:1</v>
      </c>
    </row>
    <row r="287" spans="1:6" ht="21.95" customHeight="1" x14ac:dyDescent="0.3">
      <c r="A287" s="47"/>
      <c r="B287" s="39" t="s">
        <v>26</v>
      </c>
      <c r="C287" s="33" t="s">
        <v>3</v>
      </c>
      <c r="D287" s="34">
        <v>2</v>
      </c>
      <c r="E287" s="50">
        <v>19</v>
      </c>
      <c r="F287" s="32" t="str">
        <f t="shared" si="4"/>
        <v>9.5:1</v>
      </c>
    </row>
    <row r="288" spans="1:6" ht="21.95" customHeight="1" x14ac:dyDescent="0.3">
      <c r="A288" s="47"/>
      <c r="B288" s="40"/>
      <c r="C288" s="33" t="s">
        <v>12</v>
      </c>
      <c r="D288" s="34">
        <v>4</v>
      </c>
      <c r="E288" s="50">
        <v>9</v>
      </c>
      <c r="F288" s="32" t="str">
        <f t="shared" si="4"/>
        <v>2.3:1</v>
      </c>
    </row>
    <row r="289" spans="1:6" ht="21.95" customHeight="1" x14ac:dyDescent="0.3">
      <c r="A289" s="47"/>
      <c r="B289" s="40"/>
      <c r="C289" s="33" t="s">
        <v>13</v>
      </c>
      <c r="D289" s="34">
        <v>2</v>
      </c>
      <c r="E289" s="50">
        <v>9</v>
      </c>
      <c r="F289" s="32" t="str">
        <f t="shared" si="4"/>
        <v>4.5:1</v>
      </c>
    </row>
    <row r="290" spans="1:6" ht="21.95" customHeight="1" x14ac:dyDescent="0.3">
      <c r="A290" s="47"/>
      <c r="B290" s="40"/>
      <c r="C290" s="33" t="s">
        <v>4</v>
      </c>
      <c r="D290" s="34">
        <v>3</v>
      </c>
      <c r="E290" s="50">
        <v>12</v>
      </c>
      <c r="F290" s="32" t="str">
        <f t="shared" si="4"/>
        <v>4:1</v>
      </c>
    </row>
    <row r="291" spans="1:6" ht="21.95" customHeight="1" x14ac:dyDescent="0.3">
      <c r="A291" s="47"/>
      <c r="B291" s="40"/>
      <c r="C291" s="33" t="s">
        <v>14</v>
      </c>
      <c r="D291" s="34">
        <v>7</v>
      </c>
      <c r="E291" s="50">
        <v>14</v>
      </c>
      <c r="F291" s="32" t="str">
        <f t="shared" si="4"/>
        <v>2:1</v>
      </c>
    </row>
    <row r="292" spans="1:6" ht="21.95" customHeight="1" x14ac:dyDescent="0.3">
      <c r="A292" s="47"/>
      <c r="B292" s="40"/>
      <c r="C292" s="33" t="s">
        <v>15</v>
      </c>
      <c r="D292" s="34">
        <v>1</v>
      </c>
      <c r="E292" s="50">
        <v>2</v>
      </c>
      <c r="F292" s="32" t="str">
        <f t="shared" si="4"/>
        <v>2:1</v>
      </c>
    </row>
    <row r="293" spans="1:6" ht="21.95" customHeight="1" x14ac:dyDescent="0.3">
      <c r="A293" s="47"/>
      <c r="B293" s="40"/>
      <c r="C293" s="33" t="s">
        <v>16</v>
      </c>
      <c r="D293" s="34">
        <v>2</v>
      </c>
      <c r="E293" s="50">
        <v>6</v>
      </c>
      <c r="F293" s="32" t="str">
        <f t="shared" si="4"/>
        <v>3:1</v>
      </c>
    </row>
    <row r="294" spans="1:6" ht="21.95" customHeight="1" x14ac:dyDescent="0.3">
      <c r="A294" s="47"/>
      <c r="B294" s="40"/>
      <c r="C294" s="33" t="s">
        <v>6</v>
      </c>
      <c r="D294" s="34">
        <v>2</v>
      </c>
      <c r="E294" s="50">
        <v>6</v>
      </c>
      <c r="F294" s="32" t="str">
        <f t="shared" si="4"/>
        <v>3:1</v>
      </c>
    </row>
    <row r="295" spans="1:6" ht="21.95" customHeight="1" x14ac:dyDescent="0.3">
      <c r="A295" s="47"/>
      <c r="B295" s="40"/>
      <c r="C295" s="33" t="s">
        <v>7</v>
      </c>
      <c r="D295" s="34">
        <v>2</v>
      </c>
      <c r="E295" s="50">
        <v>9</v>
      </c>
      <c r="F295" s="32" t="str">
        <f t="shared" si="4"/>
        <v>4.5:1</v>
      </c>
    </row>
    <row r="296" spans="1:6" ht="21.95" customHeight="1" x14ac:dyDescent="0.3">
      <c r="A296" s="47"/>
      <c r="B296" s="40"/>
      <c r="C296" s="33" t="s">
        <v>8</v>
      </c>
      <c r="D296" s="34">
        <v>3</v>
      </c>
      <c r="E296" s="50">
        <v>2</v>
      </c>
      <c r="F296" s="32" t="str">
        <f t="shared" si="4"/>
        <v>0.7:1</v>
      </c>
    </row>
    <row r="297" spans="1:6" ht="21.95" customHeight="1" x14ac:dyDescent="0.3">
      <c r="A297" s="47"/>
      <c r="B297" s="40"/>
      <c r="C297" s="33" t="s">
        <v>17</v>
      </c>
      <c r="D297" s="34">
        <v>3</v>
      </c>
      <c r="E297" s="50">
        <v>8</v>
      </c>
      <c r="F297" s="32" t="str">
        <f t="shared" si="4"/>
        <v>2.7:1</v>
      </c>
    </row>
    <row r="298" spans="1:6" ht="21.95" customHeight="1" x14ac:dyDescent="0.3">
      <c r="A298" s="47"/>
      <c r="B298" s="40"/>
      <c r="C298" s="33" t="s">
        <v>18</v>
      </c>
      <c r="D298" s="34">
        <v>1</v>
      </c>
      <c r="E298" s="50">
        <v>0</v>
      </c>
      <c r="F298" s="32" t="str">
        <f t="shared" si="4"/>
        <v>0:1</v>
      </c>
    </row>
    <row r="299" spans="1:6" ht="21.75" customHeight="1" x14ac:dyDescent="0.3">
      <c r="A299" s="47"/>
      <c r="B299" s="40"/>
      <c r="C299" s="33" t="s">
        <v>9</v>
      </c>
      <c r="D299" s="34">
        <v>4</v>
      </c>
      <c r="E299" s="50">
        <v>27</v>
      </c>
      <c r="F299" s="32" t="str">
        <f t="shared" si="4"/>
        <v>6.8:1</v>
      </c>
    </row>
    <row r="300" spans="1:6" ht="21.75" customHeight="1" x14ac:dyDescent="0.3">
      <c r="A300" s="47"/>
      <c r="B300" s="42"/>
      <c r="C300" s="33" t="s">
        <v>10</v>
      </c>
      <c r="D300" s="34">
        <v>5</v>
      </c>
      <c r="E300" s="50">
        <v>5</v>
      </c>
      <c r="F300" s="32" t="str">
        <f t="shared" si="4"/>
        <v>1:1</v>
      </c>
    </row>
    <row r="301" spans="1:6" ht="21.75" customHeight="1" x14ac:dyDescent="0.3">
      <c r="A301" s="47"/>
      <c r="B301" s="41" t="s">
        <v>32</v>
      </c>
      <c r="C301" s="41"/>
      <c r="D301" s="12">
        <v>1</v>
      </c>
      <c r="E301" s="49">
        <v>0</v>
      </c>
      <c r="F301" s="31" t="str">
        <f t="shared" si="4"/>
        <v>0:1</v>
      </c>
    </row>
    <row r="302" spans="1:6" ht="21.75" customHeight="1" x14ac:dyDescent="0.3">
      <c r="A302" s="47"/>
      <c r="B302" s="10" t="s">
        <v>89</v>
      </c>
      <c r="C302" s="10" t="s">
        <v>9</v>
      </c>
      <c r="D302" s="11">
        <v>1</v>
      </c>
      <c r="E302" s="51">
        <v>0</v>
      </c>
      <c r="F302" s="32" t="str">
        <f t="shared" si="4"/>
        <v>0:1</v>
      </c>
    </row>
    <row r="303" spans="1:6" ht="21.95" customHeight="1" x14ac:dyDescent="0.3">
      <c r="A303" s="47"/>
      <c r="B303" s="41" t="s">
        <v>32</v>
      </c>
      <c r="C303" s="41"/>
      <c r="D303" s="12">
        <f>SUM(D304:D315)</f>
        <v>19</v>
      </c>
      <c r="E303" s="49">
        <f>SUM(E304:E315)</f>
        <v>143</v>
      </c>
      <c r="F303" s="31" t="str">
        <f t="shared" si="4"/>
        <v>7.5:1</v>
      </c>
    </row>
    <row r="304" spans="1:6" ht="21.95" customHeight="1" x14ac:dyDescent="0.3">
      <c r="A304" s="47"/>
      <c r="B304" s="36" t="s">
        <v>27</v>
      </c>
      <c r="C304" s="10" t="s">
        <v>3</v>
      </c>
      <c r="D304" s="34">
        <v>2</v>
      </c>
      <c r="E304" s="50">
        <v>10</v>
      </c>
      <c r="F304" s="32" t="str">
        <f t="shared" si="4"/>
        <v>5:1</v>
      </c>
    </row>
    <row r="305" spans="1:6" ht="21.75" customHeight="1" x14ac:dyDescent="0.3">
      <c r="A305" s="47"/>
      <c r="B305" s="36"/>
      <c r="C305" s="10" t="s">
        <v>12</v>
      </c>
      <c r="D305" s="34">
        <v>2</v>
      </c>
      <c r="E305" s="50">
        <v>16</v>
      </c>
      <c r="F305" s="32" t="str">
        <f t="shared" si="4"/>
        <v>8:1</v>
      </c>
    </row>
    <row r="306" spans="1:6" ht="21.95" customHeight="1" x14ac:dyDescent="0.3">
      <c r="A306" s="47"/>
      <c r="B306" s="36"/>
      <c r="C306" s="10" t="s">
        <v>13</v>
      </c>
      <c r="D306" s="34">
        <v>1</v>
      </c>
      <c r="E306" s="50">
        <v>2</v>
      </c>
      <c r="F306" s="32" t="str">
        <f t="shared" si="4"/>
        <v>2:1</v>
      </c>
    </row>
    <row r="307" spans="1:6" ht="21.95" customHeight="1" x14ac:dyDescent="0.3">
      <c r="A307" s="47"/>
      <c r="B307" s="36"/>
      <c r="C307" s="10" t="s">
        <v>4</v>
      </c>
      <c r="D307" s="34">
        <v>1</v>
      </c>
      <c r="E307" s="50">
        <v>7</v>
      </c>
      <c r="F307" s="32" t="str">
        <f t="shared" si="4"/>
        <v>7:1</v>
      </c>
    </row>
    <row r="308" spans="1:6" ht="21.95" customHeight="1" x14ac:dyDescent="0.3">
      <c r="A308" s="47"/>
      <c r="B308" s="36"/>
      <c r="C308" s="10" t="s">
        <v>14</v>
      </c>
      <c r="D308" s="34">
        <v>1</v>
      </c>
      <c r="E308" s="50">
        <v>6</v>
      </c>
      <c r="F308" s="32" t="str">
        <f t="shared" si="4"/>
        <v>6:1</v>
      </c>
    </row>
    <row r="309" spans="1:6" ht="21.95" customHeight="1" x14ac:dyDescent="0.3">
      <c r="A309" s="47"/>
      <c r="B309" s="36"/>
      <c r="C309" s="10" t="s">
        <v>15</v>
      </c>
      <c r="D309" s="34">
        <v>1</v>
      </c>
      <c r="E309" s="50">
        <v>19</v>
      </c>
      <c r="F309" s="32" t="str">
        <f t="shared" si="4"/>
        <v>19:1</v>
      </c>
    </row>
    <row r="310" spans="1:6" ht="21.95" customHeight="1" x14ac:dyDescent="0.3">
      <c r="A310" s="47"/>
      <c r="B310" s="36"/>
      <c r="C310" s="10" t="s">
        <v>6</v>
      </c>
      <c r="D310" s="34">
        <v>2</v>
      </c>
      <c r="E310" s="50">
        <v>17</v>
      </c>
      <c r="F310" s="32" t="str">
        <f t="shared" si="4"/>
        <v>8.5:1</v>
      </c>
    </row>
    <row r="311" spans="1:6" ht="21.95" customHeight="1" x14ac:dyDescent="0.3">
      <c r="A311" s="47"/>
      <c r="B311" s="36"/>
      <c r="C311" s="10" t="s">
        <v>8</v>
      </c>
      <c r="D311" s="34">
        <v>3</v>
      </c>
      <c r="E311" s="50">
        <v>17</v>
      </c>
      <c r="F311" s="32" t="str">
        <f t="shared" si="4"/>
        <v>5.7:1</v>
      </c>
    </row>
    <row r="312" spans="1:6" ht="21.95" customHeight="1" x14ac:dyDescent="0.3">
      <c r="A312" s="47"/>
      <c r="B312" s="36"/>
      <c r="C312" s="10" t="s">
        <v>17</v>
      </c>
      <c r="D312" s="34">
        <v>1</v>
      </c>
      <c r="E312" s="50">
        <v>5</v>
      </c>
      <c r="F312" s="32" t="str">
        <f t="shared" si="4"/>
        <v>5:1</v>
      </c>
    </row>
    <row r="313" spans="1:6" ht="21.95" customHeight="1" x14ac:dyDescent="0.3">
      <c r="A313" s="47"/>
      <c r="B313" s="36"/>
      <c r="C313" s="10" t="s">
        <v>18</v>
      </c>
      <c r="D313" s="34">
        <v>1</v>
      </c>
      <c r="E313" s="50">
        <v>13</v>
      </c>
      <c r="F313" s="32" t="str">
        <f t="shared" si="4"/>
        <v>13:1</v>
      </c>
    </row>
    <row r="314" spans="1:6" ht="21.95" customHeight="1" x14ac:dyDescent="0.3">
      <c r="A314" s="47"/>
      <c r="B314" s="36"/>
      <c r="C314" s="10" t="s">
        <v>9</v>
      </c>
      <c r="D314" s="34">
        <v>2</v>
      </c>
      <c r="E314" s="50">
        <v>21</v>
      </c>
      <c r="F314" s="32" t="str">
        <f t="shared" si="4"/>
        <v>10.5:1</v>
      </c>
    </row>
    <row r="315" spans="1:6" ht="21.95" customHeight="1" x14ac:dyDescent="0.3">
      <c r="A315" s="47"/>
      <c r="B315" s="36"/>
      <c r="C315" s="10" t="s">
        <v>10</v>
      </c>
      <c r="D315" s="34">
        <v>2</v>
      </c>
      <c r="E315" s="50">
        <v>10</v>
      </c>
      <c r="F315" s="32" t="str">
        <f t="shared" ref="F315:F378" si="5">ROUND(E315/D315,1)&amp;":1"</f>
        <v>5:1</v>
      </c>
    </row>
    <row r="316" spans="1:6" ht="21.95" customHeight="1" x14ac:dyDescent="0.3">
      <c r="A316" s="47"/>
      <c r="B316" s="41" t="s">
        <v>32</v>
      </c>
      <c r="C316" s="41"/>
      <c r="D316" s="12">
        <v>2</v>
      </c>
      <c r="E316" s="49">
        <v>10</v>
      </c>
      <c r="F316" s="31" t="str">
        <f t="shared" si="5"/>
        <v>5:1</v>
      </c>
    </row>
    <row r="317" spans="1:6" ht="21.95" customHeight="1" x14ac:dyDescent="0.3">
      <c r="A317" s="47"/>
      <c r="B317" s="36" t="s">
        <v>28</v>
      </c>
      <c r="C317" s="10" t="s">
        <v>3</v>
      </c>
      <c r="D317" s="11">
        <v>1</v>
      </c>
      <c r="E317" s="51">
        <v>6</v>
      </c>
      <c r="F317" s="32" t="str">
        <f t="shared" si="5"/>
        <v>6:1</v>
      </c>
    </row>
    <row r="318" spans="1:6" ht="21.95" customHeight="1" x14ac:dyDescent="0.3">
      <c r="A318" s="47"/>
      <c r="B318" s="36"/>
      <c r="C318" s="10" t="s">
        <v>4</v>
      </c>
      <c r="D318" s="11">
        <v>1</v>
      </c>
      <c r="E318" s="51">
        <v>4</v>
      </c>
      <c r="F318" s="32" t="str">
        <f t="shared" si="5"/>
        <v>4:1</v>
      </c>
    </row>
    <row r="319" spans="1:6" ht="21.95" customHeight="1" x14ac:dyDescent="0.3">
      <c r="A319" s="47"/>
      <c r="B319" s="41" t="s">
        <v>32</v>
      </c>
      <c r="C319" s="41"/>
      <c r="D319" s="12">
        <f>SUM(D320:D323)</f>
        <v>5</v>
      </c>
      <c r="E319" s="49">
        <f>SUM(E320:E323)</f>
        <v>30</v>
      </c>
      <c r="F319" s="31" t="str">
        <f t="shared" si="5"/>
        <v>6:1</v>
      </c>
    </row>
    <row r="320" spans="1:6" ht="21.95" customHeight="1" x14ac:dyDescent="0.3">
      <c r="A320" s="47"/>
      <c r="B320" s="36" t="s">
        <v>29</v>
      </c>
      <c r="C320" s="10" t="s">
        <v>3</v>
      </c>
      <c r="D320" s="11">
        <v>1</v>
      </c>
      <c r="E320" s="50">
        <v>13</v>
      </c>
      <c r="F320" s="32" t="str">
        <f t="shared" si="5"/>
        <v>13:1</v>
      </c>
    </row>
    <row r="321" spans="1:6" ht="21.95" customHeight="1" x14ac:dyDescent="0.3">
      <c r="A321" s="47"/>
      <c r="B321" s="36"/>
      <c r="C321" s="10" t="s">
        <v>5</v>
      </c>
      <c r="D321" s="11">
        <v>2</v>
      </c>
      <c r="E321" s="50">
        <v>10</v>
      </c>
      <c r="F321" s="32" t="str">
        <f t="shared" si="5"/>
        <v>5:1</v>
      </c>
    </row>
    <row r="322" spans="1:6" ht="21.95" customHeight="1" x14ac:dyDescent="0.3">
      <c r="A322" s="47"/>
      <c r="B322" s="36"/>
      <c r="C322" s="10" t="s">
        <v>8</v>
      </c>
      <c r="D322" s="11">
        <v>1</v>
      </c>
      <c r="E322" s="50">
        <v>1</v>
      </c>
      <c r="F322" s="32" t="str">
        <f t="shared" si="5"/>
        <v>1:1</v>
      </c>
    </row>
    <row r="323" spans="1:6" ht="21.95" customHeight="1" x14ac:dyDescent="0.3">
      <c r="A323" s="47"/>
      <c r="B323" s="36"/>
      <c r="C323" s="10" t="s">
        <v>10</v>
      </c>
      <c r="D323" s="11">
        <v>1</v>
      </c>
      <c r="E323" s="50">
        <v>6</v>
      </c>
      <c r="F323" s="32" t="str">
        <f t="shared" si="5"/>
        <v>6:1</v>
      </c>
    </row>
    <row r="324" spans="1:6" ht="21.95" customHeight="1" x14ac:dyDescent="0.3">
      <c r="A324" s="47"/>
      <c r="B324" s="41" t="s">
        <v>32</v>
      </c>
      <c r="C324" s="41"/>
      <c r="D324" s="12">
        <f>SUM(D325:D338)</f>
        <v>16</v>
      </c>
      <c r="E324" s="49">
        <f>SUM(E325:E338)</f>
        <v>56</v>
      </c>
      <c r="F324" s="31" t="str">
        <f t="shared" si="5"/>
        <v>3.5:1</v>
      </c>
    </row>
    <row r="325" spans="1:6" ht="21.95" customHeight="1" x14ac:dyDescent="0.3">
      <c r="A325" s="47"/>
      <c r="B325" s="36" t="s">
        <v>30</v>
      </c>
      <c r="C325" s="10" t="s">
        <v>11</v>
      </c>
      <c r="D325" s="9">
        <v>2</v>
      </c>
      <c r="E325" s="50">
        <v>8</v>
      </c>
      <c r="F325" s="32" t="str">
        <f t="shared" si="5"/>
        <v>4:1</v>
      </c>
    </row>
    <row r="326" spans="1:6" ht="21.95" customHeight="1" x14ac:dyDescent="0.3">
      <c r="A326" s="47"/>
      <c r="B326" s="36"/>
      <c r="C326" s="10" t="s">
        <v>3</v>
      </c>
      <c r="D326" s="9">
        <v>1</v>
      </c>
      <c r="E326" s="50">
        <v>5</v>
      </c>
      <c r="F326" s="32" t="str">
        <f t="shared" si="5"/>
        <v>5:1</v>
      </c>
    </row>
    <row r="327" spans="1:6" ht="21.95" customHeight="1" x14ac:dyDescent="0.3">
      <c r="A327" s="47"/>
      <c r="B327" s="36"/>
      <c r="C327" s="10" t="s">
        <v>12</v>
      </c>
      <c r="D327" s="9">
        <v>1</v>
      </c>
      <c r="E327" s="50">
        <v>1</v>
      </c>
      <c r="F327" s="32" t="str">
        <f t="shared" si="5"/>
        <v>1:1</v>
      </c>
    </row>
    <row r="328" spans="1:6" ht="21.95" customHeight="1" x14ac:dyDescent="0.3">
      <c r="A328" s="47"/>
      <c r="B328" s="36"/>
      <c r="C328" s="10" t="s">
        <v>13</v>
      </c>
      <c r="D328" s="9">
        <v>1</v>
      </c>
      <c r="E328" s="50">
        <v>3</v>
      </c>
      <c r="F328" s="32" t="str">
        <f t="shared" si="5"/>
        <v>3:1</v>
      </c>
    </row>
    <row r="329" spans="1:6" ht="21.95" customHeight="1" x14ac:dyDescent="0.3">
      <c r="A329" s="47"/>
      <c r="B329" s="36"/>
      <c r="C329" s="10" t="s">
        <v>4</v>
      </c>
      <c r="D329" s="9">
        <v>1</v>
      </c>
      <c r="E329" s="50">
        <v>3</v>
      </c>
      <c r="F329" s="32" t="str">
        <f t="shared" si="5"/>
        <v>3:1</v>
      </c>
    </row>
    <row r="330" spans="1:6" ht="21.95" customHeight="1" x14ac:dyDescent="0.3">
      <c r="A330" s="47"/>
      <c r="B330" s="36"/>
      <c r="C330" s="10" t="s">
        <v>14</v>
      </c>
      <c r="D330" s="9">
        <v>1</v>
      </c>
      <c r="E330" s="50">
        <v>3</v>
      </c>
      <c r="F330" s="32" t="str">
        <f t="shared" si="5"/>
        <v>3:1</v>
      </c>
    </row>
    <row r="331" spans="1:6" ht="21.95" customHeight="1" x14ac:dyDescent="0.3">
      <c r="A331" s="47"/>
      <c r="B331" s="36"/>
      <c r="C331" s="10" t="s">
        <v>5</v>
      </c>
      <c r="D331" s="9">
        <v>2</v>
      </c>
      <c r="E331" s="50">
        <v>5</v>
      </c>
      <c r="F331" s="32" t="str">
        <f t="shared" si="5"/>
        <v>2.5:1</v>
      </c>
    </row>
    <row r="332" spans="1:6" ht="21.95" customHeight="1" x14ac:dyDescent="0.3">
      <c r="A332" s="47"/>
      <c r="B332" s="36"/>
      <c r="C332" s="10" t="s">
        <v>15</v>
      </c>
      <c r="D332" s="9">
        <v>1</v>
      </c>
      <c r="E332" s="50">
        <v>4</v>
      </c>
      <c r="F332" s="32" t="str">
        <f t="shared" si="5"/>
        <v>4:1</v>
      </c>
    </row>
    <row r="333" spans="1:6" ht="21.95" customHeight="1" x14ac:dyDescent="0.3">
      <c r="A333" s="47"/>
      <c r="B333" s="36"/>
      <c r="C333" s="10" t="s">
        <v>16</v>
      </c>
      <c r="D333" s="9">
        <v>1</v>
      </c>
      <c r="E333" s="50">
        <v>0</v>
      </c>
      <c r="F333" s="32" t="str">
        <f t="shared" si="5"/>
        <v>0:1</v>
      </c>
    </row>
    <row r="334" spans="1:6" ht="21.95" customHeight="1" x14ac:dyDescent="0.3">
      <c r="A334" s="47"/>
      <c r="B334" s="36"/>
      <c r="C334" s="10" t="s">
        <v>6</v>
      </c>
      <c r="D334" s="9">
        <v>1</v>
      </c>
      <c r="E334" s="50">
        <v>3</v>
      </c>
      <c r="F334" s="32" t="str">
        <f t="shared" si="5"/>
        <v>3:1</v>
      </c>
    </row>
    <row r="335" spans="1:6" ht="21.95" customHeight="1" x14ac:dyDescent="0.3">
      <c r="A335" s="47"/>
      <c r="B335" s="36"/>
      <c r="C335" s="10" t="s">
        <v>7</v>
      </c>
      <c r="D335" s="9">
        <v>1</v>
      </c>
      <c r="E335" s="50">
        <v>5</v>
      </c>
      <c r="F335" s="32" t="str">
        <f t="shared" si="5"/>
        <v>5:1</v>
      </c>
    </row>
    <row r="336" spans="1:6" ht="21.95" customHeight="1" x14ac:dyDescent="0.3">
      <c r="A336" s="47"/>
      <c r="B336" s="36"/>
      <c r="C336" s="10" t="s">
        <v>8</v>
      </c>
      <c r="D336" s="9">
        <v>1</v>
      </c>
      <c r="E336" s="50">
        <v>4</v>
      </c>
      <c r="F336" s="32" t="str">
        <f t="shared" si="5"/>
        <v>4:1</v>
      </c>
    </row>
    <row r="337" spans="1:6" ht="21.95" customHeight="1" x14ac:dyDescent="0.3">
      <c r="A337" s="47"/>
      <c r="B337" s="36"/>
      <c r="C337" s="10" t="s">
        <v>10</v>
      </c>
      <c r="D337" s="9">
        <v>1</v>
      </c>
      <c r="E337" s="50">
        <v>2</v>
      </c>
      <c r="F337" s="32" t="str">
        <f t="shared" si="5"/>
        <v>2:1</v>
      </c>
    </row>
    <row r="338" spans="1:6" ht="21.95" customHeight="1" x14ac:dyDescent="0.3">
      <c r="A338" s="47"/>
      <c r="B338" s="36"/>
      <c r="C338" s="10" t="s">
        <v>20</v>
      </c>
      <c r="D338" s="9">
        <v>1</v>
      </c>
      <c r="E338" s="50">
        <v>10</v>
      </c>
      <c r="F338" s="32" t="str">
        <f t="shared" si="5"/>
        <v>10:1</v>
      </c>
    </row>
    <row r="339" spans="1:6" ht="21.95" customHeight="1" x14ac:dyDescent="0.3">
      <c r="A339" s="47"/>
      <c r="B339" s="41" t="s">
        <v>32</v>
      </c>
      <c r="C339" s="41"/>
      <c r="D339" s="12">
        <v>2</v>
      </c>
      <c r="E339" s="49">
        <v>27</v>
      </c>
      <c r="F339" s="31" t="str">
        <f t="shared" si="5"/>
        <v>13.5:1</v>
      </c>
    </row>
    <row r="340" spans="1:6" ht="21.95" customHeight="1" x14ac:dyDescent="0.3">
      <c r="A340" s="47"/>
      <c r="B340" s="10" t="s">
        <v>31</v>
      </c>
      <c r="C340" s="10" t="s">
        <v>16</v>
      </c>
      <c r="D340" s="11">
        <v>2</v>
      </c>
      <c r="E340" s="50">
        <v>27</v>
      </c>
      <c r="F340" s="32" t="str">
        <f t="shared" si="5"/>
        <v>13.5:1</v>
      </c>
    </row>
    <row r="341" spans="1:6" ht="21.75" customHeight="1" x14ac:dyDescent="0.3">
      <c r="A341" s="4"/>
      <c r="B341" s="21" t="s">
        <v>55</v>
      </c>
      <c r="C341" s="19" t="s">
        <v>36</v>
      </c>
      <c r="D341" s="24">
        <f>D342+D355+D359+D363+D370</f>
        <v>67</v>
      </c>
      <c r="E341" s="52">
        <f>E342+E355+E359+E363+E370</f>
        <v>451</v>
      </c>
      <c r="F341" s="28" t="str">
        <f t="shared" si="5"/>
        <v>6.7:1</v>
      </c>
    </row>
    <row r="342" spans="1:6" ht="21.75" customHeight="1" x14ac:dyDescent="0.3">
      <c r="A342" s="48" t="s">
        <v>41</v>
      </c>
      <c r="B342" s="41" t="s">
        <v>32</v>
      </c>
      <c r="C342" s="41"/>
      <c r="D342" s="12">
        <f>SUM(D343:D354)</f>
        <v>33</v>
      </c>
      <c r="E342" s="49">
        <f>SUM(E343:E354)</f>
        <v>2</v>
      </c>
      <c r="F342" s="29" t="str">
        <f t="shared" si="5"/>
        <v>0.1:1</v>
      </c>
    </row>
    <row r="343" spans="1:6" ht="21.75" customHeight="1" x14ac:dyDescent="0.3">
      <c r="A343" s="48"/>
      <c r="B343" s="36" t="s">
        <v>43</v>
      </c>
      <c r="C343" s="10" t="s">
        <v>11</v>
      </c>
      <c r="D343" s="11">
        <v>13</v>
      </c>
      <c r="E343" s="50">
        <v>1</v>
      </c>
      <c r="F343" s="30" t="str">
        <f t="shared" si="5"/>
        <v>0.1:1</v>
      </c>
    </row>
    <row r="344" spans="1:6" ht="21.75" customHeight="1" x14ac:dyDescent="0.3">
      <c r="A344" s="48"/>
      <c r="B344" s="36"/>
      <c r="C344" s="10" t="s">
        <v>3</v>
      </c>
      <c r="D344" s="11">
        <v>1</v>
      </c>
      <c r="E344" s="50">
        <v>0</v>
      </c>
      <c r="F344" s="30" t="str">
        <f t="shared" si="5"/>
        <v>0:1</v>
      </c>
    </row>
    <row r="345" spans="1:6" ht="21.75" customHeight="1" x14ac:dyDescent="0.3">
      <c r="A345" s="48"/>
      <c r="B345" s="36"/>
      <c r="C345" s="10" t="s">
        <v>12</v>
      </c>
      <c r="D345" s="11">
        <v>1</v>
      </c>
      <c r="E345" s="50">
        <v>0</v>
      </c>
      <c r="F345" s="30" t="str">
        <f t="shared" si="5"/>
        <v>0:1</v>
      </c>
    </row>
    <row r="346" spans="1:6" ht="21.75" customHeight="1" x14ac:dyDescent="0.3">
      <c r="A346" s="48"/>
      <c r="B346" s="36"/>
      <c r="C346" s="10" t="s">
        <v>13</v>
      </c>
      <c r="D346" s="11">
        <v>1</v>
      </c>
      <c r="E346" s="50">
        <v>0</v>
      </c>
      <c r="F346" s="30" t="str">
        <f t="shared" si="5"/>
        <v>0:1</v>
      </c>
    </row>
    <row r="347" spans="1:6" ht="21.75" customHeight="1" x14ac:dyDescent="0.3">
      <c r="A347" s="48"/>
      <c r="B347" s="36"/>
      <c r="C347" s="10" t="s">
        <v>4</v>
      </c>
      <c r="D347" s="11">
        <v>4</v>
      </c>
      <c r="E347" s="50">
        <v>0</v>
      </c>
      <c r="F347" s="30" t="str">
        <f t="shared" si="5"/>
        <v>0:1</v>
      </c>
    </row>
    <row r="348" spans="1:6" ht="21.75" customHeight="1" x14ac:dyDescent="0.3">
      <c r="A348" s="48"/>
      <c r="B348" s="36"/>
      <c r="C348" s="10" t="s">
        <v>14</v>
      </c>
      <c r="D348" s="11">
        <v>2</v>
      </c>
      <c r="E348" s="50">
        <v>0</v>
      </c>
      <c r="F348" s="30" t="str">
        <f t="shared" si="5"/>
        <v>0:1</v>
      </c>
    </row>
    <row r="349" spans="1:6" ht="21.75" customHeight="1" x14ac:dyDescent="0.3">
      <c r="A349" s="48"/>
      <c r="B349" s="36"/>
      <c r="C349" s="10" t="s">
        <v>5</v>
      </c>
      <c r="D349" s="11">
        <v>3</v>
      </c>
      <c r="E349" s="50">
        <v>0</v>
      </c>
      <c r="F349" s="30" t="str">
        <f t="shared" si="5"/>
        <v>0:1</v>
      </c>
    </row>
    <row r="350" spans="1:6" ht="21.75" customHeight="1" x14ac:dyDescent="0.3">
      <c r="A350" s="48"/>
      <c r="B350" s="36"/>
      <c r="C350" s="10" t="s">
        <v>16</v>
      </c>
      <c r="D350" s="11">
        <v>1</v>
      </c>
      <c r="E350" s="50">
        <v>1</v>
      </c>
      <c r="F350" s="30" t="str">
        <f t="shared" si="5"/>
        <v>1:1</v>
      </c>
    </row>
    <row r="351" spans="1:6" ht="21.75" customHeight="1" x14ac:dyDescent="0.3">
      <c r="A351" s="48"/>
      <c r="B351" s="36"/>
      <c r="C351" s="10" t="s">
        <v>7</v>
      </c>
      <c r="D351" s="11">
        <v>1</v>
      </c>
      <c r="E351" s="50">
        <v>0</v>
      </c>
      <c r="F351" s="30" t="str">
        <f t="shared" si="5"/>
        <v>0:1</v>
      </c>
    </row>
    <row r="352" spans="1:6" ht="21.75" customHeight="1" x14ac:dyDescent="0.3">
      <c r="A352" s="48"/>
      <c r="B352" s="36"/>
      <c r="C352" s="10" t="s">
        <v>18</v>
      </c>
      <c r="D352" s="11">
        <v>2</v>
      </c>
      <c r="E352" s="50">
        <v>0</v>
      </c>
      <c r="F352" s="30" t="str">
        <f t="shared" si="5"/>
        <v>0:1</v>
      </c>
    </row>
    <row r="353" spans="1:6" ht="21.75" customHeight="1" x14ac:dyDescent="0.3">
      <c r="A353" s="48"/>
      <c r="B353" s="36"/>
      <c r="C353" s="10" t="s">
        <v>9</v>
      </c>
      <c r="D353" s="11">
        <v>2</v>
      </c>
      <c r="E353" s="50">
        <v>0</v>
      </c>
      <c r="F353" s="30" t="str">
        <f t="shared" si="5"/>
        <v>0:1</v>
      </c>
    </row>
    <row r="354" spans="1:6" ht="21.75" customHeight="1" x14ac:dyDescent="0.3">
      <c r="A354" s="48"/>
      <c r="B354" s="36"/>
      <c r="C354" s="10" t="s">
        <v>10</v>
      </c>
      <c r="D354" s="11">
        <v>2</v>
      </c>
      <c r="E354" s="50">
        <v>0</v>
      </c>
      <c r="F354" s="30" t="str">
        <f t="shared" si="5"/>
        <v>0:1</v>
      </c>
    </row>
    <row r="355" spans="1:6" ht="21.75" customHeight="1" x14ac:dyDescent="0.3">
      <c r="A355" s="48"/>
      <c r="B355" s="37" t="s">
        <v>32</v>
      </c>
      <c r="C355" s="38"/>
      <c r="D355" s="12">
        <f>SUM(D356:D358)</f>
        <v>4</v>
      </c>
      <c r="E355" s="49">
        <f>SUM(E356:E358)</f>
        <v>29</v>
      </c>
      <c r="F355" s="29" t="str">
        <f t="shared" si="5"/>
        <v>7.3:1</v>
      </c>
    </row>
    <row r="356" spans="1:6" ht="21.75" customHeight="1" x14ac:dyDescent="0.3">
      <c r="A356" s="48"/>
      <c r="B356" s="36" t="s">
        <v>42</v>
      </c>
      <c r="C356" s="10" t="s">
        <v>44</v>
      </c>
      <c r="D356" s="11">
        <v>2</v>
      </c>
      <c r="E356" s="50">
        <v>15</v>
      </c>
      <c r="F356" s="30" t="str">
        <f t="shared" si="5"/>
        <v>7.5:1</v>
      </c>
    </row>
    <row r="357" spans="1:6" ht="21.75" customHeight="1" x14ac:dyDescent="0.3">
      <c r="A357" s="48"/>
      <c r="B357" s="36"/>
      <c r="C357" s="10" t="s">
        <v>46</v>
      </c>
      <c r="D357" s="11">
        <v>1</v>
      </c>
      <c r="E357" s="50">
        <v>7</v>
      </c>
      <c r="F357" s="30" t="str">
        <f t="shared" si="5"/>
        <v>7:1</v>
      </c>
    </row>
    <row r="358" spans="1:6" ht="21.75" customHeight="1" x14ac:dyDescent="0.3">
      <c r="A358" s="48"/>
      <c r="B358" s="36"/>
      <c r="C358" s="10" t="s">
        <v>47</v>
      </c>
      <c r="D358" s="11">
        <v>1</v>
      </c>
      <c r="E358" s="50">
        <v>7</v>
      </c>
      <c r="F358" s="30" t="str">
        <f t="shared" si="5"/>
        <v>7:1</v>
      </c>
    </row>
    <row r="359" spans="1:6" ht="21.75" customHeight="1" x14ac:dyDescent="0.3">
      <c r="A359" s="48"/>
      <c r="B359" s="37" t="s">
        <v>32</v>
      </c>
      <c r="C359" s="38"/>
      <c r="D359" s="12">
        <f>SUM(D360:D362)</f>
        <v>3</v>
      </c>
      <c r="E359" s="49">
        <f>SUM(E360:E362)</f>
        <v>41</v>
      </c>
      <c r="F359" s="29" t="str">
        <f t="shared" si="5"/>
        <v>13.7:1</v>
      </c>
    </row>
    <row r="360" spans="1:6" ht="21.75" customHeight="1" x14ac:dyDescent="0.3">
      <c r="A360" s="48"/>
      <c r="B360" s="36" t="s">
        <v>49</v>
      </c>
      <c r="C360" s="14" t="s">
        <v>51</v>
      </c>
      <c r="D360" s="13">
        <v>1</v>
      </c>
      <c r="E360" s="53">
        <v>17</v>
      </c>
      <c r="F360" s="30" t="str">
        <f t="shared" si="5"/>
        <v>17:1</v>
      </c>
    </row>
    <row r="361" spans="1:6" ht="21.75" customHeight="1" x14ac:dyDescent="0.3">
      <c r="A361" s="48"/>
      <c r="B361" s="36"/>
      <c r="C361" s="14" t="s">
        <v>52</v>
      </c>
      <c r="D361" s="13">
        <v>1</v>
      </c>
      <c r="E361" s="53">
        <v>18</v>
      </c>
      <c r="F361" s="30" t="str">
        <f t="shared" si="5"/>
        <v>18:1</v>
      </c>
    </row>
    <row r="362" spans="1:6" ht="21.75" customHeight="1" x14ac:dyDescent="0.3">
      <c r="A362" s="48"/>
      <c r="B362" s="36"/>
      <c r="C362" s="14" t="s">
        <v>53</v>
      </c>
      <c r="D362" s="13">
        <v>1</v>
      </c>
      <c r="E362" s="53">
        <v>6</v>
      </c>
      <c r="F362" s="30" t="str">
        <f t="shared" si="5"/>
        <v>6:1</v>
      </c>
    </row>
    <row r="363" spans="1:6" ht="21.75" customHeight="1" x14ac:dyDescent="0.3">
      <c r="A363" s="48"/>
      <c r="B363" s="37" t="s">
        <v>50</v>
      </c>
      <c r="C363" s="38"/>
      <c r="D363" s="12">
        <f>SUM(D364:D369)</f>
        <v>9</v>
      </c>
      <c r="E363" s="49">
        <f>SUM(E364:E369)</f>
        <v>83</v>
      </c>
      <c r="F363" s="29" t="str">
        <f t="shared" si="5"/>
        <v>9.2:1</v>
      </c>
    </row>
    <row r="364" spans="1:6" ht="21.75" customHeight="1" x14ac:dyDescent="0.3">
      <c r="A364" s="48"/>
      <c r="B364" s="39" t="s">
        <v>48</v>
      </c>
      <c r="C364" s="14" t="s">
        <v>12</v>
      </c>
      <c r="D364" s="13">
        <v>2</v>
      </c>
      <c r="E364" s="50">
        <v>27</v>
      </c>
      <c r="F364" s="30" t="str">
        <f t="shared" si="5"/>
        <v>13.5:1</v>
      </c>
    </row>
    <row r="365" spans="1:6" ht="21.75" customHeight="1" x14ac:dyDescent="0.3">
      <c r="A365" s="48"/>
      <c r="B365" s="40"/>
      <c r="C365" s="14" t="s">
        <v>13</v>
      </c>
      <c r="D365" s="13">
        <v>3</v>
      </c>
      <c r="E365" s="50">
        <v>21</v>
      </c>
      <c r="F365" s="30" t="str">
        <f t="shared" si="5"/>
        <v>7:1</v>
      </c>
    </row>
    <row r="366" spans="1:6" ht="21.75" customHeight="1" x14ac:dyDescent="0.3">
      <c r="A366" s="48"/>
      <c r="B366" s="40"/>
      <c r="C366" s="14" t="s">
        <v>4</v>
      </c>
      <c r="D366" s="13">
        <v>1</v>
      </c>
      <c r="E366" s="50">
        <v>16</v>
      </c>
      <c r="F366" s="30" t="str">
        <f t="shared" si="5"/>
        <v>16:1</v>
      </c>
    </row>
    <row r="367" spans="1:6" ht="21.75" customHeight="1" x14ac:dyDescent="0.3">
      <c r="A367" s="48"/>
      <c r="B367" s="40"/>
      <c r="C367" s="14" t="s">
        <v>5</v>
      </c>
      <c r="D367" s="13">
        <v>1</v>
      </c>
      <c r="E367" s="50">
        <v>6</v>
      </c>
      <c r="F367" s="30" t="str">
        <f t="shared" si="5"/>
        <v>6:1</v>
      </c>
    </row>
    <row r="368" spans="1:6" ht="21.75" customHeight="1" x14ac:dyDescent="0.3">
      <c r="A368" s="48"/>
      <c r="B368" s="40"/>
      <c r="C368" s="14" t="s">
        <v>15</v>
      </c>
      <c r="D368" s="13">
        <v>1</v>
      </c>
      <c r="E368" s="50">
        <v>7</v>
      </c>
      <c r="F368" s="30" t="str">
        <f t="shared" si="5"/>
        <v>7:1</v>
      </c>
    </row>
    <row r="369" spans="1:6" ht="21.75" customHeight="1" x14ac:dyDescent="0.3">
      <c r="A369" s="48"/>
      <c r="B369" s="42"/>
      <c r="C369" s="14" t="s">
        <v>6</v>
      </c>
      <c r="D369" s="13">
        <v>1</v>
      </c>
      <c r="E369" s="50">
        <v>6</v>
      </c>
      <c r="F369" s="30" t="str">
        <f t="shared" si="5"/>
        <v>6:1</v>
      </c>
    </row>
    <row r="370" spans="1:6" ht="21.75" customHeight="1" x14ac:dyDescent="0.3">
      <c r="A370" s="48"/>
      <c r="B370" s="41" t="s">
        <v>32</v>
      </c>
      <c r="C370" s="41"/>
      <c r="D370" s="12">
        <f>SUM(D371:D380)</f>
        <v>18</v>
      </c>
      <c r="E370" s="49">
        <f>SUM(E371:E380)</f>
        <v>296</v>
      </c>
      <c r="F370" s="29" t="str">
        <f t="shared" si="5"/>
        <v>16.4:1</v>
      </c>
    </row>
    <row r="371" spans="1:6" ht="21.75" customHeight="1" x14ac:dyDescent="0.3">
      <c r="A371" s="48"/>
      <c r="B371" s="36" t="s">
        <v>37</v>
      </c>
      <c r="C371" s="14" t="s">
        <v>11</v>
      </c>
      <c r="D371" s="13">
        <v>1</v>
      </c>
      <c r="E371" s="50">
        <v>22</v>
      </c>
      <c r="F371" s="30" t="str">
        <f t="shared" si="5"/>
        <v>22:1</v>
      </c>
    </row>
    <row r="372" spans="1:6" ht="21.75" customHeight="1" x14ac:dyDescent="0.3">
      <c r="A372" s="48"/>
      <c r="B372" s="36"/>
      <c r="C372" s="14" t="s">
        <v>13</v>
      </c>
      <c r="D372" s="13">
        <v>2</v>
      </c>
      <c r="E372" s="50">
        <v>13</v>
      </c>
      <c r="F372" s="30" t="str">
        <f t="shared" si="5"/>
        <v>6.5:1</v>
      </c>
    </row>
    <row r="373" spans="1:6" ht="21.75" customHeight="1" x14ac:dyDescent="0.3">
      <c r="A373" s="48"/>
      <c r="B373" s="36"/>
      <c r="C373" s="14" t="s">
        <v>4</v>
      </c>
      <c r="D373" s="13">
        <v>2</v>
      </c>
      <c r="E373" s="50">
        <v>68</v>
      </c>
      <c r="F373" s="30" t="str">
        <f t="shared" si="5"/>
        <v>34:1</v>
      </c>
    </row>
    <row r="374" spans="1:6" ht="21.75" customHeight="1" x14ac:dyDescent="0.3">
      <c r="A374" s="48"/>
      <c r="B374" s="36"/>
      <c r="C374" s="14" t="s">
        <v>14</v>
      </c>
      <c r="D374" s="13">
        <v>1</v>
      </c>
      <c r="E374" s="50">
        <v>13</v>
      </c>
      <c r="F374" s="30" t="str">
        <f t="shared" si="5"/>
        <v>13:1</v>
      </c>
    </row>
    <row r="375" spans="1:6" ht="21.75" customHeight="1" x14ac:dyDescent="0.3">
      <c r="A375" s="48"/>
      <c r="B375" s="36"/>
      <c r="C375" s="14" t="s">
        <v>5</v>
      </c>
      <c r="D375" s="13">
        <v>3</v>
      </c>
      <c r="E375" s="50">
        <v>42</v>
      </c>
      <c r="F375" s="30" t="str">
        <f t="shared" si="5"/>
        <v>14:1</v>
      </c>
    </row>
    <row r="376" spans="1:6" ht="21.75" customHeight="1" x14ac:dyDescent="0.3">
      <c r="A376" s="48"/>
      <c r="B376" s="36"/>
      <c r="C376" s="14" t="s">
        <v>6</v>
      </c>
      <c r="D376" s="13">
        <v>1</v>
      </c>
      <c r="E376" s="50">
        <v>17</v>
      </c>
      <c r="F376" s="30" t="str">
        <f t="shared" si="5"/>
        <v>17:1</v>
      </c>
    </row>
    <row r="377" spans="1:6" ht="21.75" customHeight="1" x14ac:dyDescent="0.3">
      <c r="A377" s="48"/>
      <c r="B377" s="36"/>
      <c r="C377" s="14" t="s">
        <v>8</v>
      </c>
      <c r="D377" s="13">
        <v>1</v>
      </c>
      <c r="E377" s="50">
        <v>8</v>
      </c>
      <c r="F377" s="30" t="str">
        <f t="shared" si="5"/>
        <v>8:1</v>
      </c>
    </row>
    <row r="378" spans="1:6" ht="21.75" customHeight="1" x14ac:dyDescent="0.3">
      <c r="A378" s="48"/>
      <c r="B378" s="36"/>
      <c r="C378" s="14" t="s">
        <v>17</v>
      </c>
      <c r="D378" s="13">
        <v>4</v>
      </c>
      <c r="E378" s="50">
        <v>78</v>
      </c>
      <c r="F378" s="30" t="str">
        <f t="shared" si="5"/>
        <v>19.5:1</v>
      </c>
    </row>
    <row r="379" spans="1:6" ht="21.75" customHeight="1" x14ac:dyDescent="0.3">
      <c r="A379" s="48"/>
      <c r="B379" s="36"/>
      <c r="C379" s="14" t="s">
        <v>10</v>
      </c>
      <c r="D379" s="13">
        <v>2</v>
      </c>
      <c r="E379" s="50">
        <v>25</v>
      </c>
      <c r="F379" s="30" t="str">
        <f t="shared" ref="F379:F380" si="6">ROUND(E379/D379,1)&amp;":1"</f>
        <v>12.5:1</v>
      </c>
    </row>
    <row r="380" spans="1:6" ht="21.75" customHeight="1" x14ac:dyDescent="0.3">
      <c r="A380" s="48"/>
      <c r="B380" s="36"/>
      <c r="C380" s="14" t="s">
        <v>21</v>
      </c>
      <c r="D380" s="13">
        <v>1</v>
      </c>
      <c r="E380" s="50">
        <v>10</v>
      </c>
      <c r="F380" s="30" t="str">
        <f t="shared" si="6"/>
        <v>10:1</v>
      </c>
    </row>
  </sheetData>
  <mergeCells count="80">
    <mergeCell ref="A342:A380"/>
    <mergeCell ref="B342:C342"/>
    <mergeCell ref="B359:C359"/>
    <mergeCell ref="B370:C370"/>
    <mergeCell ref="B343:B354"/>
    <mergeCell ref="B360:B362"/>
    <mergeCell ref="B371:B380"/>
    <mergeCell ref="B363:C363"/>
    <mergeCell ref="B364:B369"/>
    <mergeCell ref="B324:C324"/>
    <mergeCell ref="B339:C339"/>
    <mergeCell ref="A8:A340"/>
    <mergeCell ref="B33:C33"/>
    <mergeCell ref="B59:C59"/>
    <mergeCell ref="B75:C75"/>
    <mergeCell ref="B92:C92"/>
    <mergeCell ref="B106:C106"/>
    <mergeCell ref="B108:C108"/>
    <mergeCell ref="B115:C115"/>
    <mergeCell ref="B119:C119"/>
    <mergeCell ref="B286:C286"/>
    <mergeCell ref="B303:C303"/>
    <mergeCell ref="B304:B315"/>
    <mergeCell ref="B317:B318"/>
    <mergeCell ref="B320:B323"/>
    <mergeCell ref="A2:F2"/>
    <mergeCell ref="E4:F4"/>
    <mergeCell ref="B287:B300"/>
    <mergeCell ref="B301:C301"/>
    <mergeCell ref="B325:B338"/>
    <mergeCell ref="B8:C8"/>
    <mergeCell ref="B20:C20"/>
    <mergeCell ref="B175:C175"/>
    <mergeCell ref="B181:C181"/>
    <mergeCell ref="B197:C197"/>
    <mergeCell ref="B209:C209"/>
    <mergeCell ref="B225:C225"/>
    <mergeCell ref="B235:C235"/>
    <mergeCell ref="B254:C254"/>
    <mergeCell ref="B269:C269"/>
    <mergeCell ref="B284:C284"/>
    <mergeCell ref="B316:C316"/>
    <mergeCell ref="B319:C319"/>
    <mergeCell ref="B198:B208"/>
    <mergeCell ref="B255:B268"/>
    <mergeCell ref="B270:B283"/>
    <mergeCell ref="B230:C230"/>
    <mergeCell ref="B226:B229"/>
    <mergeCell ref="B231:B234"/>
    <mergeCell ref="B236:B249"/>
    <mergeCell ref="B250:C250"/>
    <mergeCell ref="B252:C252"/>
    <mergeCell ref="B176:B180"/>
    <mergeCell ref="B182:B196"/>
    <mergeCell ref="B109:B114"/>
    <mergeCell ref="B120:B132"/>
    <mergeCell ref="B134:B142"/>
    <mergeCell ref="B144:B145"/>
    <mergeCell ref="B133:C133"/>
    <mergeCell ref="B143:C143"/>
    <mergeCell ref="B146:C146"/>
    <mergeCell ref="B154:C154"/>
    <mergeCell ref="B168:C168"/>
    <mergeCell ref="B147:B153"/>
    <mergeCell ref="B9:B19"/>
    <mergeCell ref="B21:B32"/>
    <mergeCell ref="B355:C355"/>
    <mergeCell ref="B356:B358"/>
    <mergeCell ref="B93:B103"/>
    <mergeCell ref="B104:C104"/>
    <mergeCell ref="B116:B118"/>
    <mergeCell ref="B155:B165"/>
    <mergeCell ref="B166:C166"/>
    <mergeCell ref="B210:B220"/>
    <mergeCell ref="B221:C221"/>
    <mergeCell ref="B222:B224"/>
    <mergeCell ref="B34:B58"/>
    <mergeCell ref="B60:B74"/>
    <mergeCell ref="B76:B91"/>
    <mergeCell ref="B169:B174"/>
  </mergeCells>
  <phoneticPr fontId="1" type="noConversion"/>
  <pageMargins left="0.23622047244094491" right="0.23622047244094491" top="0.74803149606299213" bottom="0.74803149606299213" header="0.31496062992125984" footer="0.31496062992125984"/>
  <pageSetup paperSize="8" scale="85" fitToHeight="0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Sheet0</vt:lpstr>
      <vt:lpstr>Sheet0!Print_Area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cp:lastPrinted>2023-03-20T23:39:18Z</cp:lastPrinted>
  <dcterms:created xsi:type="dcterms:W3CDTF">2022-03-28T22:57:57Z</dcterms:created>
  <dcterms:modified xsi:type="dcterms:W3CDTF">2023-03-21T00:14:49Z</dcterms:modified>
</cp:coreProperties>
</file>