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90"/>
  </bookViews>
  <sheets>
    <sheet name="Sheet0" sheetId="1" r:id="rId1"/>
  </sheets>
  <definedNames>
    <definedName name="_xlnm.Print_Area" localSheetId="0">Sheet0!$A$1:$H$383</definedName>
  </definedNames>
  <calcPr calcId="152511"/>
</workbook>
</file>

<file path=xl/calcChain.xml><?xml version="1.0" encoding="utf-8"?>
<calcChain xmlns="http://schemas.openxmlformats.org/spreadsheetml/2006/main">
  <c r="F109" i="1" l="1"/>
  <c r="G169" i="1" l="1"/>
  <c r="G232" i="1" l="1"/>
  <c r="G233" i="1"/>
  <c r="G234" i="1"/>
  <c r="G235" i="1"/>
  <c r="G236" i="1"/>
  <c r="G238" i="1"/>
  <c r="G239" i="1"/>
  <c r="G240" i="1"/>
  <c r="G241" i="1"/>
  <c r="G243" i="1"/>
  <c r="G245" i="1"/>
  <c r="G247" i="1"/>
  <c r="G248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6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1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300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9" i="1"/>
  <c r="G321" i="1"/>
  <c r="G322" i="1"/>
  <c r="G323" i="1"/>
  <c r="G324" i="1"/>
  <c r="G325" i="1"/>
  <c r="G326" i="1"/>
  <c r="G327" i="1"/>
  <c r="G328" i="1"/>
  <c r="G329" i="1"/>
  <c r="G330" i="1"/>
  <c r="G332" i="1"/>
  <c r="G333" i="1"/>
  <c r="G334" i="1"/>
  <c r="G336" i="1"/>
  <c r="G337" i="1"/>
  <c r="G338" i="1"/>
  <c r="G339" i="1"/>
  <c r="G340" i="1"/>
  <c r="G341" i="1"/>
  <c r="G343" i="1"/>
  <c r="G344" i="1"/>
  <c r="G345" i="1"/>
  <c r="G346" i="1"/>
  <c r="G347" i="1"/>
  <c r="G348" i="1"/>
  <c r="G349" i="1"/>
  <c r="G350" i="1"/>
  <c r="G351" i="1"/>
  <c r="G352" i="1"/>
  <c r="G354" i="1"/>
  <c r="G355" i="1"/>
  <c r="G356" i="1"/>
  <c r="G359" i="1"/>
  <c r="G361" i="1"/>
  <c r="G362" i="1"/>
  <c r="G363" i="1"/>
  <c r="G364" i="1"/>
  <c r="G366" i="1"/>
  <c r="G367" i="1"/>
  <c r="G368" i="1"/>
  <c r="G369" i="1"/>
  <c r="G370" i="1"/>
  <c r="G371" i="1"/>
  <c r="G373" i="1"/>
  <c r="G375" i="1"/>
  <c r="G376" i="1"/>
  <c r="G378" i="1"/>
  <c r="G379" i="1"/>
  <c r="G380" i="1"/>
  <c r="G381" i="1"/>
  <c r="G382" i="1"/>
  <c r="G383" i="1"/>
  <c r="G220" i="1"/>
  <c r="G221" i="1"/>
  <c r="G222" i="1"/>
  <c r="G223" i="1"/>
  <c r="G224" i="1"/>
  <c r="G225" i="1"/>
  <c r="G226" i="1"/>
  <c r="G227" i="1"/>
  <c r="G228" i="1"/>
  <c r="G229" i="1"/>
  <c r="G219" i="1"/>
  <c r="G231" i="1"/>
  <c r="G217" i="1"/>
  <c r="G208" i="1"/>
  <c r="G209" i="1"/>
  <c r="G210" i="1"/>
  <c r="G211" i="1"/>
  <c r="G212" i="1"/>
  <c r="G213" i="1"/>
  <c r="G214" i="1"/>
  <c r="G215" i="1"/>
  <c r="G207" i="1"/>
  <c r="G205" i="1"/>
  <c r="G193" i="1"/>
  <c r="G194" i="1"/>
  <c r="G195" i="1"/>
  <c r="G196" i="1"/>
  <c r="G197" i="1"/>
  <c r="G198" i="1"/>
  <c r="G199" i="1"/>
  <c r="G200" i="1"/>
  <c r="G201" i="1"/>
  <c r="G202" i="1"/>
  <c r="G203" i="1"/>
  <c r="G192" i="1"/>
  <c r="G188" i="1"/>
  <c r="G189" i="1"/>
  <c r="G190" i="1"/>
  <c r="G187" i="1"/>
  <c r="G177" i="1"/>
  <c r="G178" i="1"/>
  <c r="G179" i="1"/>
  <c r="G180" i="1"/>
  <c r="G181" i="1"/>
  <c r="G182" i="1"/>
  <c r="G183" i="1"/>
  <c r="G184" i="1"/>
  <c r="G185" i="1"/>
  <c r="G176" i="1"/>
  <c r="G174" i="1"/>
  <c r="G173" i="1"/>
  <c r="G163" i="1"/>
  <c r="G164" i="1"/>
  <c r="G165" i="1"/>
  <c r="G166" i="1"/>
  <c r="G167" i="1"/>
  <c r="G168" i="1"/>
  <c r="G162" i="1"/>
  <c r="G171" i="1"/>
  <c r="G155" i="1"/>
  <c r="G156" i="1"/>
  <c r="G157" i="1"/>
  <c r="G158" i="1"/>
  <c r="G159" i="1"/>
  <c r="G160" i="1"/>
  <c r="G154" i="1"/>
  <c r="G150" i="1"/>
  <c r="G151" i="1"/>
  <c r="G152" i="1"/>
  <c r="G149" i="1"/>
  <c r="G140" i="1"/>
  <c r="G141" i="1"/>
  <c r="G142" i="1"/>
  <c r="G143" i="1"/>
  <c r="G144" i="1"/>
  <c r="G145" i="1"/>
  <c r="G146" i="1"/>
  <c r="G147" i="1"/>
  <c r="G139" i="1"/>
  <c r="G127" i="1"/>
  <c r="G128" i="1"/>
  <c r="G129" i="1"/>
  <c r="G130" i="1"/>
  <c r="G131" i="1"/>
  <c r="G132" i="1"/>
  <c r="G133" i="1"/>
  <c r="G134" i="1"/>
  <c r="G135" i="1"/>
  <c r="G136" i="1"/>
  <c r="G137" i="1"/>
  <c r="G126" i="1"/>
  <c r="G124" i="1"/>
  <c r="G123" i="1"/>
  <c r="G121" i="1"/>
  <c r="G111" i="1"/>
  <c r="G112" i="1"/>
  <c r="G113" i="1"/>
  <c r="G114" i="1"/>
  <c r="G115" i="1"/>
  <c r="G116" i="1"/>
  <c r="G117" i="1"/>
  <c r="G118" i="1"/>
  <c r="G119" i="1"/>
  <c r="G110" i="1"/>
  <c r="G108" i="1"/>
  <c r="G107" i="1"/>
  <c r="G105" i="1"/>
  <c r="G104" i="1"/>
  <c r="G102" i="1"/>
  <c r="G101" i="1"/>
  <c r="G100" i="1"/>
  <c r="G99" i="1"/>
  <c r="G98" i="1"/>
  <c r="G97" i="1"/>
  <c r="G96" i="1"/>
  <c r="G95" i="1"/>
  <c r="G94" i="1"/>
  <c r="G93" i="1"/>
  <c r="G92" i="1"/>
  <c r="G75" i="1"/>
  <c r="F75" i="1"/>
  <c r="G91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59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34" i="1"/>
  <c r="G24" i="1"/>
  <c r="G25" i="1"/>
  <c r="G26" i="1"/>
  <c r="G27" i="1"/>
  <c r="G28" i="1"/>
  <c r="G29" i="1"/>
  <c r="G30" i="1"/>
  <c r="G31" i="1"/>
  <c r="G32" i="1"/>
  <c r="G23" i="1"/>
  <c r="G10" i="1"/>
  <c r="G11" i="1"/>
  <c r="G12" i="1"/>
  <c r="G13" i="1"/>
  <c r="G14" i="1"/>
  <c r="G15" i="1"/>
  <c r="G16" i="1"/>
  <c r="G17" i="1"/>
  <c r="G18" i="1"/>
  <c r="G19" i="1"/>
  <c r="G20" i="1"/>
  <c r="G21" i="1"/>
  <c r="G9" i="1"/>
  <c r="G22" i="1" l="1"/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3" i="1"/>
  <c r="H24" i="1"/>
  <c r="H25" i="1"/>
  <c r="H26" i="1"/>
  <c r="H27" i="1"/>
  <c r="H28" i="1"/>
  <c r="H29" i="1"/>
  <c r="H30" i="1"/>
  <c r="H31" i="1"/>
  <c r="H32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9" i="1"/>
  <c r="H60" i="1"/>
  <c r="H61" i="1"/>
  <c r="H62" i="1"/>
  <c r="H63" i="1"/>
  <c r="H64" i="1"/>
  <c r="H65" i="1"/>
  <c r="H66" i="1"/>
  <c r="H67" i="1"/>
  <c r="H68" i="1"/>
  <c r="H70" i="1"/>
  <c r="H72" i="1"/>
  <c r="H73" i="1"/>
  <c r="H74" i="1"/>
  <c r="H75" i="1"/>
  <c r="H76" i="1"/>
  <c r="H77" i="1"/>
  <c r="H78" i="1"/>
  <c r="H80" i="1"/>
  <c r="H81" i="1"/>
  <c r="H82" i="1"/>
  <c r="H83" i="1"/>
  <c r="H84" i="1"/>
  <c r="H86" i="1"/>
  <c r="H87" i="1"/>
  <c r="H88" i="1"/>
  <c r="H89" i="1"/>
  <c r="H91" i="1"/>
  <c r="H92" i="1"/>
  <c r="H93" i="1"/>
  <c r="H94" i="1"/>
  <c r="H95" i="1"/>
  <c r="H96" i="1"/>
  <c r="H97" i="1"/>
  <c r="H98" i="1"/>
  <c r="H99" i="1"/>
  <c r="H100" i="1"/>
  <c r="H101" i="1"/>
  <c r="H102" i="1"/>
  <c r="H108" i="1"/>
  <c r="H110" i="1"/>
  <c r="H111" i="1"/>
  <c r="H112" i="1"/>
  <c r="H113" i="1"/>
  <c r="H114" i="1"/>
  <c r="H115" i="1"/>
  <c r="H116" i="1"/>
  <c r="H117" i="1"/>
  <c r="H118" i="1"/>
  <c r="H119" i="1"/>
  <c r="H121" i="1"/>
  <c r="H123" i="1"/>
  <c r="H124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9" i="1"/>
  <c r="H140" i="1"/>
  <c r="H141" i="1"/>
  <c r="H142" i="1"/>
  <c r="H143" i="1"/>
  <c r="H144" i="1"/>
  <c r="H145" i="1"/>
  <c r="H147" i="1"/>
  <c r="H149" i="1"/>
  <c r="H151" i="1"/>
  <c r="H152" i="1"/>
  <c r="H154" i="1"/>
  <c r="H155" i="1"/>
  <c r="H156" i="1"/>
  <c r="H157" i="1"/>
  <c r="H158" i="1"/>
  <c r="H159" i="1"/>
  <c r="H160" i="1"/>
  <c r="H162" i="1"/>
  <c r="H163" i="1"/>
  <c r="H164" i="1"/>
  <c r="H165" i="1"/>
  <c r="H166" i="1"/>
  <c r="H167" i="1"/>
  <c r="H168" i="1"/>
  <c r="H169" i="1"/>
  <c r="H173" i="1"/>
  <c r="H174" i="1"/>
  <c r="H176" i="1"/>
  <c r="H177" i="1"/>
  <c r="H178" i="1"/>
  <c r="H179" i="1"/>
  <c r="H180" i="1"/>
  <c r="H181" i="1"/>
  <c r="H183" i="1"/>
  <c r="H184" i="1"/>
  <c r="H185" i="1"/>
  <c r="H187" i="1"/>
  <c r="H188" i="1"/>
  <c r="H189" i="1"/>
  <c r="H190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7" i="1"/>
  <c r="H208" i="1"/>
  <c r="H209" i="1"/>
  <c r="H210" i="1"/>
  <c r="H211" i="1"/>
  <c r="H212" i="1"/>
  <c r="H213" i="1"/>
  <c r="H214" i="1"/>
  <c r="H215" i="1"/>
  <c r="H219" i="1"/>
  <c r="H220" i="1"/>
  <c r="H221" i="1"/>
  <c r="H222" i="1"/>
  <c r="H223" i="1"/>
  <c r="H224" i="1"/>
  <c r="H225" i="1"/>
  <c r="H226" i="1"/>
  <c r="H227" i="1"/>
  <c r="H228" i="1"/>
  <c r="H229" i="1"/>
  <c r="H231" i="1"/>
  <c r="H233" i="1"/>
  <c r="H234" i="1"/>
  <c r="H235" i="1"/>
  <c r="H236" i="1"/>
  <c r="H238" i="1"/>
  <c r="H239" i="1"/>
  <c r="H240" i="1"/>
  <c r="H241" i="1"/>
  <c r="H245" i="1"/>
  <c r="H247" i="1"/>
  <c r="H248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6" i="1"/>
  <c r="H268" i="1"/>
  <c r="H269" i="1"/>
  <c r="H270" i="1"/>
  <c r="H271" i="1"/>
  <c r="H272" i="1"/>
  <c r="H273" i="1"/>
  <c r="H274" i="1"/>
  <c r="H275" i="1"/>
  <c r="H276" i="1"/>
  <c r="H277" i="1"/>
  <c r="H278" i="1"/>
  <c r="H281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300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21" i="1"/>
  <c r="H322" i="1"/>
  <c r="H323" i="1"/>
  <c r="H324" i="1"/>
  <c r="H325" i="1"/>
  <c r="H326" i="1"/>
  <c r="H327" i="1"/>
  <c r="H328" i="1"/>
  <c r="H329" i="1"/>
  <c r="H330" i="1"/>
  <c r="H332" i="1"/>
  <c r="H333" i="1"/>
  <c r="H334" i="1"/>
  <c r="H336" i="1"/>
  <c r="H337" i="1"/>
  <c r="H338" i="1"/>
  <c r="H339" i="1"/>
  <c r="H340" i="1"/>
  <c r="H341" i="1"/>
  <c r="H343" i="1"/>
  <c r="H344" i="1"/>
  <c r="H345" i="1"/>
  <c r="H346" i="1"/>
  <c r="H347" i="1"/>
  <c r="H348" i="1"/>
  <c r="H349" i="1"/>
  <c r="H350" i="1"/>
  <c r="H352" i="1"/>
  <c r="H354" i="1"/>
  <c r="H355" i="1"/>
  <c r="H359" i="1"/>
  <c r="H361" i="1"/>
  <c r="H362" i="1"/>
  <c r="H363" i="1"/>
  <c r="H364" i="1"/>
  <c r="H366" i="1"/>
  <c r="H367" i="1"/>
  <c r="H368" i="1"/>
  <c r="H369" i="1"/>
  <c r="H370" i="1"/>
  <c r="H371" i="1"/>
  <c r="H373" i="1"/>
  <c r="H375" i="1"/>
  <c r="H376" i="1"/>
  <c r="H378" i="1"/>
  <c r="H379" i="1"/>
  <c r="H380" i="1"/>
  <c r="H381" i="1"/>
  <c r="H382" i="1"/>
  <c r="H383" i="1"/>
  <c r="F232" i="1" l="1"/>
  <c r="H232" i="1" s="1"/>
  <c r="F377" i="1"/>
  <c r="F374" i="1"/>
  <c r="F372" i="1"/>
  <c r="F365" i="1"/>
  <c r="F360" i="1"/>
  <c r="F358" i="1"/>
  <c r="F353" i="1"/>
  <c r="F342" i="1"/>
  <c r="F335" i="1"/>
  <c r="F331" i="1"/>
  <c r="F320" i="1"/>
  <c r="F318" i="1"/>
  <c r="F301" i="1"/>
  <c r="F299" i="1"/>
  <c r="F282" i="1"/>
  <c r="F280" i="1"/>
  <c r="F267" i="1"/>
  <c r="F265" i="1"/>
  <c r="F249" i="1"/>
  <c r="F246" i="1"/>
  <c r="F244" i="1"/>
  <c r="F242" i="1"/>
  <c r="F237" i="1"/>
  <c r="F230" i="1"/>
  <c r="H230" i="1" s="1"/>
  <c r="F218" i="1"/>
  <c r="H218" i="1" s="1"/>
  <c r="F216" i="1"/>
  <c r="F206" i="1"/>
  <c r="H206" i="1" s="1"/>
  <c r="F204" i="1"/>
  <c r="F191" i="1"/>
  <c r="H191" i="1" s="1"/>
  <c r="F186" i="1"/>
  <c r="H186" i="1" s="1"/>
  <c r="F175" i="1"/>
  <c r="H175" i="1" s="1"/>
  <c r="F172" i="1"/>
  <c r="H172" i="1" s="1"/>
  <c r="F170" i="1"/>
  <c r="F161" i="1"/>
  <c r="H161" i="1" s="1"/>
  <c r="F153" i="1"/>
  <c r="H153" i="1" s="1"/>
  <c r="F148" i="1"/>
  <c r="H148" i="1" s="1"/>
  <c r="F138" i="1"/>
  <c r="H138" i="1" s="1"/>
  <c r="F125" i="1"/>
  <c r="H125" i="1" s="1"/>
  <c r="F122" i="1"/>
  <c r="H122" i="1" s="1"/>
  <c r="F120" i="1"/>
  <c r="H120" i="1" s="1"/>
  <c r="H109" i="1"/>
  <c r="F106" i="1"/>
  <c r="H106" i="1" s="1"/>
  <c r="F103" i="1"/>
  <c r="F90" i="1"/>
  <c r="H90" i="1" s="1"/>
  <c r="F58" i="1"/>
  <c r="H58" i="1" s="1"/>
  <c r="F33" i="1"/>
  <c r="H33" i="1" s="1"/>
  <c r="F22" i="1"/>
  <c r="H22" i="1" s="1"/>
  <c r="F8" i="1"/>
  <c r="H8" i="1" s="1"/>
  <c r="E377" i="1"/>
  <c r="E374" i="1"/>
  <c r="E372" i="1"/>
  <c r="E357" i="1" s="1"/>
  <c r="E365" i="1"/>
  <c r="E360" i="1"/>
  <c r="E358" i="1"/>
  <c r="E353" i="1"/>
  <c r="E342" i="1"/>
  <c r="E335" i="1"/>
  <c r="E331" i="1"/>
  <c r="E320" i="1"/>
  <c r="E318" i="1"/>
  <c r="E301" i="1"/>
  <c r="E299" i="1"/>
  <c r="E282" i="1"/>
  <c r="E280" i="1"/>
  <c r="E267" i="1"/>
  <c r="E265" i="1"/>
  <c r="E249" i="1"/>
  <c r="E246" i="1"/>
  <c r="E244" i="1"/>
  <c r="E242" i="1"/>
  <c r="E237" i="1"/>
  <c r="E232" i="1"/>
  <c r="E230" i="1"/>
  <c r="E218" i="1"/>
  <c r="E216" i="1"/>
  <c r="E206" i="1"/>
  <c r="E204" i="1"/>
  <c r="E191" i="1"/>
  <c r="E186" i="1"/>
  <c r="E175" i="1"/>
  <c r="E172" i="1"/>
  <c r="E170" i="1"/>
  <c r="E161" i="1"/>
  <c r="E153" i="1"/>
  <c r="E148" i="1"/>
  <c r="E138" i="1"/>
  <c r="E125" i="1"/>
  <c r="E122" i="1"/>
  <c r="E120" i="1"/>
  <c r="E109" i="1"/>
  <c r="E106" i="1"/>
  <c r="E103" i="1"/>
  <c r="E90" i="1"/>
  <c r="E75" i="1"/>
  <c r="E58" i="1"/>
  <c r="E33" i="1"/>
  <c r="E22" i="1"/>
  <c r="E8" i="1"/>
  <c r="E7" i="1" s="1"/>
  <c r="E6" i="1" s="1"/>
  <c r="G377" i="1" l="1"/>
  <c r="H377" i="1"/>
  <c r="G374" i="1"/>
  <c r="H374" i="1"/>
  <c r="G372" i="1"/>
  <c r="H372" i="1"/>
  <c r="G365" i="1"/>
  <c r="H365" i="1"/>
  <c r="G360" i="1"/>
  <c r="H360" i="1"/>
  <c r="G358" i="1"/>
  <c r="H358" i="1"/>
  <c r="G353" i="1"/>
  <c r="H353" i="1"/>
  <c r="G342" i="1"/>
  <c r="H342" i="1"/>
  <c r="G335" i="1"/>
  <c r="H335" i="1"/>
  <c r="G331" i="1"/>
  <c r="H331" i="1"/>
  <c r="G320" i="1"/>
  <c r="H320" i="1"/>
  <c r="G318" i="1"/>
  <c r="G301" i="1"/>
  <c r="H301" i="1"/>
  <c r="G299" i="1"/>
  <c r="H299" i="1"/>
  <c r="G282" i="1"/>
  <c r="H282" i="1"/>
  <c r="G267" i="1"/>
  <c r="H267" i="1"/>
  <c r="G280" i="1"/>
  <c r="H280" i="1"/>
  <c r="G265" i="1"/>
  <c r="H265" i="1"/>
  <c r="G249" i="1"/>
  <c r="H249" i="1"/>
  <c r="G246" i="1"/>
  <c r="H246" i="1"/>
  <c r="G244" i="1"/>
  <c r="H244" i="1"/>
  <c r="G242" i="1"/>
  <c r="G237" i="1"/>
  <c r="H237" i="1"/>
  <c r="F357" i="1"/>
  <c r="F7" i="1"/>
  <c r="H7" i="1" s="1"/>
  <c r="G357" i="1" l="1"/>
  <c r="H357" i="1"/>
  <c r="F6" i="1"/>
  <c r="H6" i="1" s="1"/>
  <c r="D282" i="1"/>
  <c r="D365" i="1" l="1"/>
  <c r="D360" i="1"/>
  <c r="D353" i="1"/>
  <c r="D331" i="1"/>
  <c r="D244" i="1"/>
  <c r="D242" i="1"/>
  <c r="D237" i="1"/>
  <c r="G230" i="1"/>
  <c r="D230" i="1"/>
  <c r="G216" i="1"/>
  <c r="D216" i="1"/>
  <c r="G204" i="1"/>
  <c r="D204" i="1"/>
  <c r="G172" i="1"/>
  <c r="G170" i="1"/>
  <c r="D172" i="1"/>
  <c r="D170" i="1"/>
  <c r="G161" i="1"/>
  <c r="G148" i="1"/>
  <c r="D148" i="1"/>
  <c r="D138" i="1"/>
  <c r="G120" i="1" l="1"/>
  <c r="D120" i="1"/>
  <c r="G106" i="1"/>
  <c r="D106" i="1"/>
  <c r="D103" i="1"/>
  <c r="G103" i="1"/>
  <c r="D33" i="1"/>
  <c r="G191" i="1" l="1"/>
  <c r="G186" i="1"/>
  <c r="G175" i="1"/>
  <c r="G153" i="1"/>
  <c r="G138" i="1"/>
  <c r="G125" i="1"/>
  <c r="G122" i="1"/>
  <c r="G109" i="1"/>
  <c r="G90" i="1"/>
  <c r="G58" i="1"/>
  <c r="G33" i="1"/>
  <c r="G8" i="1"/>
  <c r="D249" i="1" l="1"/>
  <c r="D218" i="1"/>
  <c r="G206" i="1"/>
  <c r="D206" i="1"/>
  <c r="D191" i="1"/>
  <c r="D109" i="1"/>
  <c r="D90" i="1"/>
  <c r="D75" i="1"/>
  <c r="D58" i="1"/>
  <c r="D22" i="1"/>
  <c r="D8" i="1"/>
  <c r="D301" i="1"/>
  <c r="D342" i="1"/>
  <c r="D335" i="1"/>
  <c r="D320" i="1"/>
  <c r="D267" i="1"/>
  <c r="D246" i="1"/>
  <c r="D232" i="1"/>
  <c r="G218" i="1"/>
  <c r="D186" i="1"/>
  <c r="D175" i="1"/>
  <c r="D161" i="1"/>
  <c r="D153" i="1"/>
  <c r="D125" i="1"/>
  <c r="D122" i="1"/>
  <c r="G7" i="1" l="1"/>
  <c r="D7" i="1"/>
  <c r="D374" i="1"/>
  <c r="D358" i="1" l="1"/>
  <c r="D372" i="1"/>
  <c r="D377" i="1" l="1"/>
  <c r="D357" i="1" l="1"/>
  <c r="G6" i="1"/>
  <c r="D6" i="1" l="1"/>
</calcChain>
</file>

<file path=xl/sharedStrings.xml><?xml version="1.0" encoding="utf-8"?>
<sst xmlns="http://schemas.openxmlformats.org/spreadsheetml/2006/main" count="466" uniqueCount="162">
  <si>
    <t>임용기관</t>
  </si>
  <si>
    <t>천안시</t>
  </si>
  <si>
    <t>아산시</t>
  </si>
  <si>
    <t>논산시</t>
  </si>
  <si>
    <t>금산군</t>
  </si>
  <si>
    <t>부여군</t>
  </si>
  <si>
    <t>서천군</t>
  </si>
  <si>
    <t>예산군</t>
  </si>
  <si>
    <t>태안군</t>
  </si>
  <si>
    <t>충청남도</t>
  </si>
  <si>
    <t>공주시</t>
  </si>
  <si>
    <t>보령시</t>
  </si>
  <si>
    <t>서산시</t>
  </si>
  <si>
    <t>계룡시</t>
  </si>
  <si>
    <t>당진시</t>
  </si>
  <si>
    <t>청양군</t>
  </si>
  <si>
    <t>홍성군</t>
  </si>
  <si>
    <t>충청남도의회</t>
  </si>
  <si>
    <t>아산시의회</t>
  </si>
  <si>
    <t>서천군의회</t>
  </si>
  <si>
    <t>9급 시설(일반토목:일반)</t>
  </si>
  <si>
    <t>9급 시설(건축:일반)</t>
  </si>
  <si>
    <t>9급 시설(지적)</t>
  </si>
  <si>
    <t>9급 시설(도시계획)</t>
  </si>
  <si>
    <t>9급 방재안전(방재안전)</t>
  </si>
  <si>
    <t>9급 방송통신(통신기술)</t>
  </si>
  <si>
    <t>9급 식품위생(식품위생)</t>
  </si>
  <si>
    <t>소계</t>
    <phoneticPr fontId="1" type="noConversion"/>
  </si>
  <si>
    <t>시험명</t>
    <phoneticPr fontId="1" type="noConversion"/>
  </si>
  <si>
    <t>총 계</t>
    <phoneticPr fontId="1" type="noConversion"/>
  </si>
  <si>
    <t>계</t>
    <phoneticPr fontId="1" type="noConversion"/>
  </si>
  <si>
    <t>9급 운전(운전)</t>
  </si>
  <si>
    <t>제1회 공개경쟁임용시험</t>
    <phoneticPr fontId="1" type="noConversion"/>
  </si>
  <si>
    <t>9급 속기(속기)</t>
    <phoneticPr fontId="1" type="noConversion"/>
  </si>
  <si>
    <t>9급 의료기술(의료기술:임상병리)</t>
    <phoneticPr fontId="1" type="noConversion"/>
  </si>
  <si>
    <t>소계</t>
    <phoneticPr fontId="1" type="noConversion"/>
  </si>
  <si>
    <t>제1회 경력경쟁임용시험</t>
    <phoneticPr fontId="1" type="noConversion"/>
  </si>
  <si>
    <t>제1회
공개경쟁
임용시험</t>
    <phoneticPr fontId="1" type="noConversion"/>
  </si>
  <si>
    <t>8급 간호(간호)</t>
    <phoneticPr fontId="1" type="noConversion"/>
  </si>
  <si>
    <t>8급 보건진료(보건진료)</t>
    <phoneticPr fontId="1" type="noConversion"/>
  </si>
  <si>
    <t>보령시의회</t>
  </si>
  <si>
    <t>9급 세무(지방세:일반)</t>
    <phoneticPr fontId="1" type="noConversion"/>
  </si>
  <si>
    <t>9급 세무(지방세:장애인)</t>
    <phoneticPr fontId="1" type="noConversion"/>
  </si>
  <si>
    <t>9급 세무(지방세:저소득층)</t>
    <phoneticPr fontId="1" type="noConversion"/>
  </si>
  <si>
    <t>9급 전산(전산:일반)</t>
    <phoneticPr fontId="1" type="noConversion"/>
  </si>
  <si>
    <t>9급 사회복지(사회복지:일반)</t>
    <phoneticPr fontId="1" type="noConversion"/>
  </si>
  <si>
    <t>9급 사회복지(사회복지:장애인)</t>
    <phoneticPr fontId="1" type="noConversion"/>
  </si>
  <si>
    <t>9급 사회복지(사회복지:저소득층)</t>
    <phoneticPr fontId="1" type="noConversion"/>
  </si>
  <si>
    <t>9급 공업(일반전기)</t>
    <phoneticPr fontId="1" type="noConversion"/>
  </si>
  <si>
    <t>9급 공업(일반화공)</t>
    <phoneticPr fontId="1" type="noConversion"/>
  </si>
  <si>
    <t>9급 농업(일반농업:일반)</t>
    <phoneticPr fontId="1" type="noConversion"/>
  </si>
  <si>
    <t>9급 녹지(조경)</t>
    <phoneticPr fontId="1" type="noConversion"/>
  </si>
  <si>
    <t>9급 해양수산(선박항해)</t>
    <phoneticPr fontId="1" type="noConversion"/>
  </si>
  <si>
    <t>9급 보건(보건:일반)</t>
    <phoneticPr fontId="1" type="noConversion"/>
  </si>
  <si>
    <t>9급 보건(보건:장애인)</t>
    <phoneticPr fontId="1" type="noConversion"/>
  </si>
  <si>
    <t>9급 시설(일반토목:장애인)</t>
  </si>
  <si>
    <t>9급 시설(건축:장애인)</t>
  </si>
  <si>
    <t>청양군</t>
    <phoneticPr fontId="1" type="noConversion"/>
  </si>
  <si>
    <t>계룡시</t>
    <phoneticPr fontId="1" type="noConversion"/>
  </si>
  <si>
    <t>서산시</t>
    <phoneticPr fontId="1" type="noConversion"/>
  </si>
  <si>
    <t>당진시</t>
    <phoneticPr fontId="1" type="noConversion"/>
  </si>
  <si>
    <t>충청남도</t>
    <phoneticPr fontId="1" type="noConversion"/>
  </si>
  <si>
    <t>천안시</t>
    <phoneticPr fontId="1" type="noConversion"/>
  </si>
  <si>
    <t>공주시</t>
    <phoneticPr fontId="1" type="noConversion"/>
  </si>
  <si>
    <t>보령시</t>
    <phoneticPr fontId="1" type="noConversion"/>
  </si>
  <si>
    <t>아산시</t>
    <phoneticPr fontId="1" type="noConversion"/>
  </si>
  <si>
    <t>서산시</t>
    <phoneticPr fontId="1" type="noConversion"/>
  </si>
  <si>
    <t>논산시</t>
    <phoneticPr fontId="1" type="noConversion"/>
  </si>
  <si>
    <t>서천군</t>
    <phoneticPr fontId="1" type="noConversion"/>
  </si>
  <si>
    <t>예산군</t>
    <phoneticPr fontId="1" type="noConversion"/>
  </si>
  <si>
    <t>태안군</t>
    <phoneticPr fontId="1" type="noConversion"/>
  </si>
  <si>
    <t>9급 전산(전산:장애인)</t>
    <phoneticPr fontId="1" type="noConversion"/>
  </si>
  <si>
    <t>충청남도</t>
    <phoneticPr fontId="1" type="noConversion"/>
  </si>
  <si>
    <t>서산시</t>
    <phoneticPr fontId="1" type="noConversion"/>
  </si>
  <si>
    <t>금산군</t>
    <phoneticPr fontId="1" type="noConversion"/>
  </si>
  <si>
    <t>공주시</t>
    <phoneticPr fontId="1" type="noConversion"/>
  </si>
  <si>
    <t>천안시</t>
    <phoneticPr fontId="1" type="noConversion"/>
  </si>
  <si>
    <t>보령시</t>
    <phoneticPr fontId="1" type="noConversion"/>
  </si>
  <si>
    <t>아산시</t>
    <phoneticPr fontId="1" type="noConversion"/>
  </si>
  <si>
    <t>논산시</t>
    <phoneticPr fontId="1" type="noConversion"/>
  </si>
  <si>
    <t>홍성군</t>
    <phoneticPr fontId="1" type="noConversion"/>
  </si>
  <si>
    <t>예산군</t>
    <phoneticPr fontId="1" type="noConversion"/>
  </si>
  <si>
    <t>태안군</t>
    <phoneticPr fontId="1" type="noConversion"/>
  </si>
  <si>
    <t>충청남도</t>
    <phoneticPr fontId="1" type="noConversion"/>
  </si>
  <si>
    <t>천안시</t>
    <phoneticPr fontId="1" type="noConversion"/>
  </si>
  <si>
    <t>보령시</t>
    <phoneticPr fontId="1" type="noConversion"/>
  </si>
  <si>
    <t>아산시</t>
    <phoneticPr fontId="1" type="noConversion"/>
  </si>
  <si>
    <t>홍성군</t>
    <phoneticPr fontId="1" type="noConversion"/>
  </si>
  <si>
    <t>예산군</t>
    <phoneticPr fontId="1" type="noConversion"/>
  </si>
  <si>
    <t>9급 공업(농업기계)</t>
    <phoneticPr fontId="1" type="noConversion"/>
  </si>
  <si>
    <t>아산시</t>
    <phoneticPr fontId="1" type="noConversion"/>
  </si>
  <si>
    <t>부여군</t>
    <phoneticPr fontId="1" type="noConversion"/>
  </si>
  <si>
    <t>9급 전산(데이터)</t>
    <phoneticPr fontId="1" type="noConversion"/>
  </si>
  <si>
    <t>9급 사서(사서)</t>
    <phoneticPr fontId="1" type="noConversion"/>
  </si>
  <si>
    <t>천안시</t>
    <phoneticPr fontId="1" type="noConversion"/>
  </si>
  <si>
    <t>서천군</t>
    <phoneticPr fontId="1" type="noConversion"/>
  </si>
  <si>
    <t>9급 농업(일반농업:장애인)</t>
    <phoneticPr fontId="1" type="noConversion"/>
  </si>
  <si>
    <t>9급 농업(축산:일반)</t>
    <phoneticPr fontId="1" type="noConversion"/>
  </si>
  <si>
    <t>9급 농업(축산:장애인)</t>
    <phoneticPr fontId="1" type="noConversion"/>
  </si>
  <si>
    <t>충청남도</t>
    <phoneticPr fontId="1" type="noConversion"/>
  </si>
  <si>
    <t>공주시</t>
    <phoneticPr fontId="1" type="noConversion"/>
  </si>
  <si>
    <t>태안군</t>
    <phoneticPr fontId="1" type="noConversion"/>
  </si>
  <si>
    <t>9급 녹지(산림자원:일반)</t>
    <phoneticPr fontId="1" type="noConversion"/>
  </si>
  <si>
    <t>9급 녹지(산림자원:장애인)</t>
    <phoneticPr fontId="1" type="noConversion"/>
  </si>
  <si>
    <t>서산시</t>
    <phoneticPr fontId="1" type="noConversion"/>
  </si>
  <si>
    <t>9급 해양수산(일반수산:일반)</t>
    <phoneticPr fontId="1" type="noConversion"/>
  </si>
  <si>
    <t>9급 해양수산(일반수산:장애인)</t>
    <phoneticPr fontId="1" type="noConversion"/>
  </si>
  <si>
    <t>9급 해양수산(일반선박)</t>
    <phoneticPr fontId="1" type="noConversion"/>
  </si>
  <si>
    <t>9급 환경(일반환경:일반)</t>
    <phoneticPr fontId="1" type="noConversion"/>
  </si>
  <si>
    <t>9급 환경(일반환경:장애인)</t>
    <phoneticPr fontId="1" type="noConversion"/>
  </si>
  <si>
    <t>충청남도</t>
    <phoneticPr fontId="1" type="noConversion"/>
  </si>
  <si>
    <t>천안시</t>
    <phoneticPr fontId="1" type="noConversion"/>
  </si>
  <si>
    <t>공주시</t>
    <phoneticPr fontId="1" type="noConversion"/>
  </si>
  <si>
    <t>아산시</t>
    <phoneticPr fontId="1" type="noConversion"/>
  </si>
  <si>
    <t>서산시</t>
    <phoneticPr fontId="1" type="noConversion"/>
  </si>
  <si>
    <t>계룡시</t>
    <phoneticPr fontId="1" type="noConversion"/>
  </si>
  <si>
    <t>당진시</t>
    <phoneticPr fontId="1" type="noConversion"/>
  </si>
  <si>
    <t>청양군</t>
    <phoneticPr fontId="1" type="noConversion"/>
  </si>
  <si>
    <t>홍성군</t>
    <phoneticPr fontId="1" type="noConversion"/>
  </si>
  <si>
    <t>예산군</t>
    <phoneticPr fontId="1" type="noConversion"/>
  </si>
  <si>
    <t>태안군</t>
    <phoneticPr fontId="1" type="noConversion"/>
  </si>
  <si>
    <t>당진시</t>
    <phoneticPr fontId="1" type="noConversion"/>
  </si>
  <si>
    <t>금산군</t>
    <phoneticPr fontId="1" type="noConversion"/>
  </si>
  <si>
    <t>계룡시</t>
    <phoneticPr fontId="1" type="noConversion"/>
  </si>
  <si>
    <t>홍성군</t>
    <phoneticPr fontId="1" type="noConversion"/>
  </si>
  <si>
    <t>논산시</t>
    <phoneticPr fontId="1" type="noConversion"/>
  </si>
  <si>
    <t>충청남도의회</t>
    <phoneticPr fontId="1" type="noConversion"/>
  </si>
  <si>
    <t>보령시</t>
    <phoneticPr fontId="1" type="noConversion"/>
  </si>
  <si>
    <t>계룡시</t>
    <phoneticPr fontId="1" type="noConversion"/>
  </si>
  <si>
    <t>금산군</t>
    <phoneticPr fontId="1" type="noConversion"/>
  </si>
  <si>
    <t>서천군</t>
    <phoneticPr fontId="1" type="noConversion"/>
  </si>
  <si>
    <t>9급 의료기술(의료기술:방사선)</t>
    <phoneticPr fontId="1" type="noConversion"/>
  </si>
  <si>
    <t>공주시</t>
    <phoneticPr fontId="1" type="noConversion"/>
  </si>
  <si>
    <t>서산시</t>
    <phoneticPr fontId="1" type="noConversion"/>
  </si>
  <si>
    <t>당진시</t>
    <phoneticPr fontId="1" type="noConversion"/>
  </si>
  <si>
    <t>청양군</t>
    <phoneticPr fontId="1" type="noConversion"/>
  </si>
  <si>
    <t>태안군</t>
    <phoneticPr fontId="1" type="noConversion"/>
  </si>
  <si>
    <t>9급 의료기술(의료기술:물리치료)</t>
    <phoneticPr fontId="1" type="noConversion"/>
  </si>
  <si>
    <t>아산시</t>
    <phoneticPr fontId="1" type="noConversion"/>
  </si>
  <si>
    <t>제1회
경력경쟁
임용시험</t>
    <phoneticPr fontId="1" type="noConversion"/>
  </si>
  <si>
    <t>9급 의료기술(의료기술:치과위생)</t>
    <phoneticPr fontId="1" type="noConversion"/>
  </si>
  <si>
    <t>천안시의회</t>
    <phoneticPr fontId="1" type="noConversion"/>
  </si>
  <si>
    <t>아산시의회</t>
    <phoneticPr fontId="1" type="noConversion"/>
  </si>
  <si>
    <t>서산시의회</t>
    <phoneticPr fontId="1" type="noConversion"/>
  </si>
  <si>
    <t>논산시의회</t>
    <phoneticPr fontId="1" type="noConversion"/>
  </si>
  <si>
    <t>금산군의회</t>
    <phoneticPr fontId="1" type="noConversion"/>
  </si>
  <si>
    <t>선발예정인원(명)</t>
    <phoneticPr fontId="1" type="noConversion"/>
  </si>
  <si>
    <t>직급/직렬</t>
    <phoneticPr fontId="1" type="noConversion"/>
  </si>
  <si>
    <t>9급 공업(일반기계:일반)</t>
    <phoneticPr fontId="1" type="noConversion"/>
  </si>
  <si>
    <t>9급 공업(일반기계:장애인)</t>
    <phoneticPr fontId="1" type="noConversion"/>
  </si>
  <si>
    <t>9급 행정(일반행정:일반)</t>
    <phoneticPr fontId="1" type="noConversion"/>
  </si>
  <si>
    <t>9급 행정(일반행정:장애인)</t>
    <phoneticPr fontId="1" type="noConversion"/>
  </si>
  <si>
    <t>9급 행정(일반행정:저소득층)</t>
    <phoneticPr fontId="1" type="noConversion"/>
  </si>
  <si>
    <r>
      <rPr>
        <sz val="18"/>
        <color rgb="FF0000FF"/>
        <rFont val="HY헤드라인M"/>
        <family val="1"/>
        <charset val="129"/>
      </rPr>
      <t>「2024년도 제1회 공개경쟁 및 경력경쟁 임용」</t>
    </r>
    <r>
      <rPr>
        <sz val="18"/>
        <color rgb="FF000000"/>
        <rFont val="HY헤드라인M"/>
        <family val="1"/>
        <charset val="129"/>
      </rPr>
      <t xml:space="preserve">
2024. 6. 22.(토) 시행 충청남도 지방공무원 임용 필기시험 응시 결과</t>
    </r>
    <phoneticPr fontId="1" type="noConversion"/>
  </si>
  <si>
    <t>출원인원(명)</t>
    <phoneticPr fontId="1" type="noConversion"/>
  </si>
  <si>
    <t>응시인원(명)</t>
    <phoneticPr fontId="1" type="noConversion"/>
  </si>
  <si>
    <t>결시인원(명)</t>
    <phoneticPr fontId="1" type="noConversion"/>
  </si>
  <si>
    <t>응시율(%)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</si>
  <si>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</si>
  <si>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</si>
  <si>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</si>
  <si>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2024. 6. 25.(화) 기준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</si>
</sst>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13"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b/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8"/>
      <color rgb="FF000000"/>
      <name val="HY헤드라인M"/>
      <family val="1"/>
      <charset val="129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8"/>
      <color rgb="FF0000FF"/>
      <name val="HY헤드라인M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1" fontId="7" fillId="5" borderId="1" xfId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41" fontId="8" fillId="3" borderId="1" xfId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center" vertical="center"/>
    </xf>
    <xf numFmtId="41" fontId="8" fillId="9" borderId="1" xfId="1" applyFont="1" applyFill="1" applyBorder="1" applyAlignment="1">
      <alignment horizontal="right" vertical="center"/>
    </xf>
    <xf numFmtId="41" fontId="0" fillId="0" borderId="0" xfId="0" applyNumberForma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41" fontId="9" fillId="2" borderId="1" xfId="1" applyFont="1" applyFill="1" applyBorder="1" applyAlignment="1">
      <alignment horizontal="right" vertical="center"/>
    </xf>
    <xf numFmtId="41" fontId="7" fillId="2" borderId="1" xfId="1" applyFont="1" applyFill="1" applyBorder="1" applyAlignment="1">
      <alignment horizontal="right" vertical="center"/>
    </xf>
    <xf numFmtId="41" fontId="7" fillId="8" borderId="1" xfId="1" applyFont="1" applyFill="1" applyBorder="1" applyAlignment="1">
      <alignment horizontal="right" vertical="center"/>
    </xf>
    <xf numFmtId="0" fontId="6" fillId="4" borderId="1" xfId="1" applyNumberFormat="1" applyFont="1" applyFill="1" applyBorder="1" applyAlignment="1">
      <alignment horizontal="center" vertical="center"/>
    </xf>
    <xf numFmtId="41" fontId="10" fillId="2" borderId="1" xfId="1" applyFont="1" applyFill="1" applyBorder="1" applyAlignment="1">
      <alignment horizontal="right" vertical="center"/>
    </xf>
    <xf numFmtId="41" fontId="9" fillId="5" borderId="1" xfId="1" applyFont="1" applyFill="1" applyBorder="1" applyAlignment="1">
      <alignment horizontal="right" vertical="center"/>
    </xf>
    <xf numFmtId="41" fontId="9" fillId="8" borderId="1" xfId="1" applyFont="1" applyFill="1" applyBorder="1" applyAlignment="1">
      <alignment horizontal="right" vertical="center"/>
    </xf>
    <xf numFmtId="41" fontId="8" fillId="6" borderId="1" xfId="1" applyFont="1" applyFill="1" applyBorder="1" applyAlignment="1">
      <alignment horizontal="right" vertical="center"/>
    </xf>
    <xf numFmtId="41" fontId="3" fillId="3" borderId="1" xfId="1" applyFont="1" applyFill="1" applyBorder="1" applyAlignment="1">
      <alignment horizontal="right" vertical="center"/>
    </xf>
    <xf numFmtId="41" fontId="3" fillId="9" borderId="1" xfId="1" applyFont="1" applyFill="1" applyBorder="1" applyAlignment="1">
      <alignment horizontal="right" vertical="center"/>
    </xf>
    <xf numFmtId="41" fontId="3" fillId="6" borderId="1" xfId="1" applyFont="1" applyFill="1" applyBorder="1" applyAlignment="1">
      <alignment horizontal="right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right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83"/>
  <sheetViews>
    <sheetView tabSelected="1" view="pageBreakPreview" zoomScaleNormal="70" zoomScaleSheetLayoutView="100" workbookViewId="0">
      <pane ySplit="5" topLeftCell="A6" activePane="bottomLeft" state="frozen"/>
      <selection pane="bottomLeft" activeCell="B4" sqref="B4"/>
    </sheetView>
  </sheetViews>
  <sheetFormatPr defaultRowHeight="16.5"/>
  <cols>
    <col min="1" max="1" width="13.5" customWidth="1"/>
    <col min="2" max="2" width="30.875" style="10" bestFit="1" customWidth="1"/>
    <col min="3" max="3" width="12.5" style="10" customWidth="1"/>
    <col min="4" max="4" width="16.75" style="13" bestFit="1" customWidth="1"/>
    <col min="5" max="7" width="16.125" style="13" customWidth="1"/>
    <col min="8" max="8" width="15.5" style="6" customWidth="1"/>
  </cols>
  <sheetData>
    <row r="2" spans="1:8" ht="56.25" customHeight="1">
      <c r="A2" s="45" t="s">
        <v>153</v>
      </c>
      <c r="B2" s="46"/>
      <c r="C2" s="46"/>
      <c r="D2" s="46"/>
      <c r="E2" s="46"/>
      <c r="F2" s="46"/>
      <c r="G2" s="46"/>
      <c r="H2" s="46"/>
    </row>
    <row r="3" spans="1:8" ht="22.5">
      <c r="A3" s="1"/>
      <c r="H3" s="4"/>
    </row>
    <row r="4" spans="1:8">
      <c r="G4" s="48" t="s">
        <v>161</v>
      </c>
      <c r="H4" s="48"/>
    </row>
    <row r="5" spans="1:8" ht="21.95" customHeight="1">
      <c r="A5" s="2" t="s">
        <v>28</v>
      </c>
      <c r="B5" s="2" t="s">
        <v>147</v>
      </c>
      <c r="C5" s="2" t="s">
        <v>0</v>
      </c>
      <c r="D5" s="24" t="s">
        <v>146</v>
      </c>
      <c r="E5" s="24" t="s">
        <v>154</v>
      </c>
      <c r="F5" s="24" t="s">
        <v>155</v>
      </c>
      <c r="G5" s="24" t="s">
        <v>156</v>
      </c>
      <c r="H5" s="5" t="s">
        <v>157</v>
      </c>
    </row>
    <row r="6" spans="1:8" ht="21.95" customHeight="1">
      <c r="A6" s="3"/>
      <c r="B6" s="11"/>
      <c r="C6" s="11" t="s">
        <v>29</v>
      </c>
      <c r="D6" s="14">
        <f>D7+D357</f>
        <v>1043</v>
      </c>
      <c r="E6" s="29">
        <f>E7+E357</f>
        <v>6353</v>
      </c>
      <c r="F6" s="29">
        <f>F7+F357</f>
        <v>4876</v>
      </c>
      <c r="G6" s="29">
        <f>G7+G357</f>
        <v>1477</v>
      </c>
      <c r="H6" s="32">
        <f t="shared" ref="H6:H68" si="0">F6/E6*100</f>
        <v>76.751141193137101</v>
      </c>
    </row>
    <row r="7" spans="1:8" ht="21.95" customHeight="1">
      <c r="A7" s="49" t="s">
        <v>32</v>
      </c>
      <c r="B7" s="50"/>
      <c r="C7" s="15" t="s">
        <v>30</v>
      </c>
      <c r="D7" s="16">
        <f>SUM(D8,D22,D33,D58,D75,D90,D103,D106,D109,D120,D122,D125,D138,D148,D153,D161,D170,D172,D175,D186,D191,D204,D206,D216,D218,D230,D232,D237,D242,D244,D246,D249,D265,D267,D280,D282,D299,D301,D318,D320,D331,D335,D342,D353)</f>
        <v>1021</v>
      </c>
      <c r="E7" s="30">
        <f>SUM(E8,E22,E33,E58,E75,E90,E103,E106,E109,E120,E122,E125,E138,E148,E153,E161,E170,E172,E175,E186,E191,E204,E206,E216,E218,E230,E232,E237,E242,E244,E246,E249,E265,E267,E280,E282,E299,E301,E318,E320,E331,E335,E342,E353)</f>
        <v>6053</v>
      </c>
      <c r="F7" s="30">
        <f>SUM(F8,F22,F33,F58,F75,F90,F103,F106,F109,F120,F122,F125,F138,F148,F153,F161,F170,F172,F175,F186,F191,F204,F206,F216,F218,F230,F232,F237,F242,F244,F246,F249,F265,F267,F280,F282,F299,F301,F318,F320,F331,F335,F342,F353)</f>
        <v>4677</v>
      </c>
      <c r="G7" s="30">
        <f>SUM(G8,G22,G33,G58,G75,G90,G103,G106,G109,G120,G122,G125,G138,G148,G153,G161,G170,G172,G175,G186,G191,G204,G206,G216,G218,G230,G232,G237,G242,G244,G246,G249,G265,G267,G280,G282,G299,G301,G318,G320,G331,G335,G342,G353)</f>
        <v>1376</v>
      </c>
      <c r="H7" s="33">
        <f t="shared" si="0"/>
        <v>77.267470675698007</v>
      </c>
    </row>
    <row r="8" spans="1:8" ht="21.95" customHeight="1">
      <c r="A8" s="43" t="s">
        <v>37</v>
      </c>
      <c r="B8" s="39" t="s">
        <v>27</v>
      </c>
      <c r="C8" s="39"/>
      <c r="D8" s="8">
        <f>SUM(D9:D21)</f>
        <v>47</v>
      </c>
      <c r="E8" s="26">
        <f>SUM(E9:E21)</f>
        <v>343</v>
      </c>
      <c r="F8" s="26">
        <f>SUM(F9:F21)</f>
        <v>278</v>
      </c>
      <c r="G8" s="26">
        <f>SUM(G9:G21)</f>
        <v>65</v>
      </c>
      <c r="H8" s="34">
        <f t="shared" si="0"/>
        <v>81.04956268221575</v>
      </c>
    </row>
    <row r="9" spans="1:8" ht="21.95" customHeight="1">
      <c r="A9" s="44"/>
      <c r="B9" s="40" t="s">
        <v>38</v>
      </c>
      <c r="C9" s="7" t="s">
        <v>1</v>
      </c>
      <c r="D9" s="21">
        <v>9</v>
      </c>
      <c r="E9" s="21">
        <v>84</v>
      </c>
      <c r="F9" s="21">
        <v>70</v>
      </c>
      <c r="G9" s="21">
        <f>E9-F9</f>
        <v>14</v>
      </c>
      <c r="H9" s="35">
        <f t="shared" si="0"/>
        <v>83.333333333333343</v>
      </c>
    </row>
    <row r="10" spans="1:8" ht="21.95" customHeight="1">
      <c r="A10" s="44"/>
      <c r="B10" s="40"/>
      <c r="C10" s="7" t="s">
        <v>10</v>
      </c>
      <c r="D10" s="21">
        <v>6</v>
      </c>
      <c r="E10" s="21">
        <v>33</v>
      </c>
      <c r="F10" s="21">
        <v>25</v>
      </c>
      <c r="G10" s="21">
        <f t="shared" ref="G10:G21" si="1">E10-F10</f>
        <v>8</v>
      </c>
      <c r="H10" s="35">
        <f t="shared" si="0"/>
        <v>75.757575757575751</v>
      </c>
    </row>
    <row r="11" spans="1:8" ht="21.95" customHeight="1">
      <c r="A11" s="44"/>
      <c r="B11" s="40"/>
      <c r="C11" s="7" t="s">
        <v>11</v>
      </c>
      <c r="D11" s="21">
        <v>4</v>
      </c>
      <c r="E11" s="21">
        <v>26</v>
      </c>
      <c r="F11" s="21">
        <v>17</v>
      </c>
      <c r="G11" s="21">
        <f t="shared" si="1"/>
        <v>9</v>
      </c>
      <c r="H11" s="35">
        <f t="shared" si="0"/>
        <v>65.384615384615387</v>
      </c>
    </row>
    <row r="12" spans="1:8" ht="21.95" customHeight="1">
      <c r="A12" s="44"/>
      <c r="B12" s="40"/>
      <c r="C12" s="7" t="s">
        <v>2</v>
      </c>
      <c r="D12" s="21">
        <v>5</v>
      </c>
      <c r="E12" s="21">
        <v>45</v>
      </c>
      <c r="F12" s="21">
        <v>37</v>
      </c>
      <c r="G12" s="21">
        <f t="shared" si="1"/>
        <v>8</v>
      </c>
      <c r="H12" s="35">
        <f t="shared" si="0"/>
        <v>82.222222222222214</v>
      </c>
    </row>
    <row r="13" spans="1:8" ht="21.95" customHeight="1">
      <c r="A13" s="44"/>
      <c r="B13" s="40"/>
      <c r="C13" s="7" t="s">
        <v>12</v>
      </c>
      <c r="D13" s="21">
        <v>2</v>
      </c>
      <c r="E13" s="21">
        <v>34</v>
      </c>
      <c r="F13" s="21">
        <v>27</v>
      </c>
      <c r="G13" s="21">
        <f t="shared" si="1"/>
        <v>7</v>
      </c>
      <c r="H13" s="35">
        <f t="shared" si="0"/>
        <v>79.411764705882348</v>
      </c>
    </row>
    <row r="14" spans="1:8" ht="21.95" customHeight="1">
      <c r="A14" s="44"/>
      <c r="B14" s="40"/>
      <c r="C14" s="7" t="s">
        <v>3</v>
      </c>
      <c r="D14" s="21">
        <v>2</v>
      </c>
      <c r="E14" s="21">
        <v>22</v>
      </c>
      <c r="F14" s="21">
        <v>19</v>
      </c>
      <c r="G14" s="21">
        <f t="shared" si="1"/>
        <v>3</v>
      </c>
      <c r="H14" s="35">
        <f t="shared" si="0"/>
        <v>86.36363636363636</v>
      </c>
    </row>
    <row r="15" spans="1:8" ht="21.95" customHeight="1">
      <c r="A15" s="44"/>
      <c r="B15" s="40"/>
      <c r="C15" s="7" t="s">
        <v>4</v>
      </c>
      <c r="D15" s="21">
        <v>1</v>
      </c>
      <c r="E15" s="21">
        <v>11</v>
      </c>
      <c r="F15" s="21">
        <v>11</v>
      </c>
      <c r="G15" s="21">
        <f t="shared" si="1"/>
        <v>0</v>
      </c>
      <c r="H15" s="35">
        <f t="shared" si="0"/>
        <v>100</v>
      </c>
    </row>
    <row r="16" spans="1:8" ht="21.95" customHeight="1">
      <c r="A16" s="44"/>
      <c r="B16" s="40"/>
      <c r="C16" s="7" t="s">
        <v>5</v>
      </c>
      <c r="D16" s="21">
        <v>7</v>
      </c>
      <c r="E16" s="21">
        <v>31</v>
      </c>
      <c r="F16" s="21">
        <v>26</v>
      </c>
      <c r="G16" s="21">
        <f t="shared" si="1"/>
        <v>5</v>
      </c>
      <c r="H16" s="35">
        <f t="shared" si="0"/>
        <v>83.870967741935488</v>
      </c>
    </row>
    <row r="17" spans="1:8" ht="21.95" customHeight="1">
      <c r="A17" s="44"/>
      <c r="B17" s="40"/>
      <c r="C17" s="18" t="s">
        <v>6</v>
      </c>
      <c r="D17" s="21">
        <v>2</v>
      </c>
      <c r="E17" s="21">
        <v>7</v>
      </c>
      <c r="F17" s="21">
        <v>6</v>
      </c>
      <c r="G17" s="21">
        <f t="shared" si="1"/>
        <v>1</v>
      </c>
      <c r="H17" s="35">
        <f t="shared" si="0"/>
        <v>85.714285714285708</v>
      </c>
    </row>
    <row r="18" spans="1:8" ht="21.75" customHeight="1">
      <c r="A18" s="44"/>
      <c r="B18" s="40"/>
      <c r="C18" s="18" t="s">
        <v>15</v>
      </c>
      <c r="D18" s="21">
        <v>3</v>
      </c>
      <c r="E18" s="21">
        <v>11</v>
      </c>
      <c r="F18" s="21">
        <v>11</v>
      </c>
      <c r="G18" s="21">
        <f t="shared" si="1"/>
        <v>0</v>
      </c>
      <c r="H18" s="35">
        <f t="shared" si="0"/>
        <v>100</v>
      </c>
    </row>
    <row r="19" spans="1:8" ht="21.95" customHeight="1">
      <c r="A19" s="44"/>
      <c r="B19" s="40"/>
      <c r="C19" s="7" t="s">
        <v>16</v>
      </c>
      <c r="D19" s="21">
        <v>2</v>
      </c>
      <c r="E19" s="21">
        <v>18</v>
      </c>
      <c r="F19" s="21">
        <v>12</v>
      </c>
      <c r="G19" s="21">
        <f t="shared" si="1"/>
        <v>6</v>
      </c>
      <c r="H19" s="35">
        <f t="shared" si="0"/>
        <v>66.666666666666657</v>
      </c>
    </row>
    <row r="20" spans="1:8" ht="21.75" customHeight="1">
      <c r="A20" s="44"/>
      <c r="B20" s="40"/>
      <c r="C20" s="7" t="s">
        <v>7</v>
      </c>
      <c r="D20" s="21">
        <v>3</v>
      </c>
      <c r="E20" s="21">
        <v>20</v>
      </c>
      <c r="F20" s="21">
        <v>16</v>
      </c>
      <c r="G20" s="21">
        <f t="shared" si="1"/>
        <v>4</v>
      </c>
      <c r="H20" s="35">
        <f t="shared" si="0"/>
        <v>80</v>
      </c>
    </row>
    <row r="21" spans="1:8" ht="21.95" customHeight="1">
      <c r="A21" s="44"/>
      <c r="B21" s="40"/>
      <c r="C21" s="7" t="s">
        <v>8</v>
      </c>
      <c r="D21" s="21">
        <v>1</v>
      </c>
      <c r="E21" s="21">
        <v>1</v>
      </c>
      <c r="F21" s="21">
        <v>1</v>
      </c>
      <c r="G21" s="21">
        <f t="shared" si="1"/>
        <v>0</v>
      </c>
      <c r="H21" s="35">
        <f t="shared" si="0"/>
        <v>100</v>
      </c>
    </row>
    <row r="22" spans="1:8" ht="21.95" customHeight="1">
      <c r="A22" s="44"/>
      <c r="B22" s="39" t="s">
        <v>27</v>
      </c>
      <c r="C22" s="39"/>
      <c r="D22" s="8">
        <f>SUM(D23:D32)</f>
        <v>25</v>
      </c>
      <c r="E22" s="26">
        <f>SUM(E23:E32)</f>
        <v>239</v>
      </c>
      <c r="F22" s="26">
        <f>SUM(F23:F32)</f>
        <v>172</v>
      </c>
      <c r="G22" s="26">
        <f>SUM(G23:G32)</f>
        <v>67</v>
      </c>
      <c r="H22" s="34">
        <f t="shared" si="0"/>
        <v>71.96652719665272</v>
      </c>
    </row>
    <row r="23" spans="1:8" ht="21.95" customHeight="1">
      <c r="A23" s="44"/>
      <c r="B23" s="40" t="s">
        <v>39</v>
      </c>
      <c r="C23" s="18" t="s">
        <v>10</v>
      </c>
      <c r="D23" s="22">
        <v>2</v>
      </c>
      <c r="E23" s="21">
        <v>23</v>
      </c>
      <c r="F23" s="21">
        <v>13</v>
      </c>
      <c r="G23" s="21">
        <f>E23-F23</f>
        <v>10</v>
      </c>
      <c r="H23" s="35">
        <f t="shared" si="0"/>
        <v>56.521739130434781</v>
      </c>
    </row>
    <row r="24" spans="1:8" ht="21.95" customHeight="1">
      <c r="A24" s="44"/>
      <c r="B24" s="40"/>
      <c r="C24" s="18" t="s">
        <v>2</v>
      </c>
      <c r="D24" s="22">
        <v>2</v>
      </c>
      <c r="E24" s="21">
        <v>27</v>
      </c>
      <c r="F24" s="21">
        <v>22</v>
      </c>
      <c r="G24" s="21">
        <f t="shared" ref="G24:G32" si="2">E24-F24</f>
        <v>5</v>
      </c>
      <c r="H24" s="35">
        <f t="shared" si="0"/>
        <v>81.481481481481481</v>
      </c>
    </row>
    <row r="25" spans="1:8" ht="21.95" customHeight="1">
      <c r="A25" s="44"/>
      <c r="B25" s="40"/>
      <c r="C25" s="18" t="s">
        <v>12</v>
      </c>
      <c r="D25" s="22">
        <v>3</v>
      </c>
      <c r="E25" s="21">
        <v>19</v>
      </c>
      <c r="F25" s="21">
        <v>14</v>
      </c>
      <c r="G25" s="21">
        <f t="shared" si="2"/>
        <v>5</v>
      </c>
      <c r="H25" s="35">
        <f t="shared" si="0"/>
        <v>73.68421052631578</v>
      </c>
    </row>
    <row r="26" spans="1:8" ht="21.95" customHeight="1">
      <c r="A26" s="44"/>
      <c r="B26" s="40"/>
      <c r="C26" s="18" t="s">
        <v>3</v>
      </c>
      <c r="D26" s="22">
        <v>2</v>
      </c>
      <c r="E26" s="21">
        <v>21</v>
      </c>
      <c r="F26" s="21">
        <v>18</v>
      </c>
      <c r="G26" s="21">
        <f t="shared" si="2"/>
        <v>3</v>
      </c>
      <c r="H26" s="35">
        <f t="shared" si="0"/>
        <v>85.714285714285708</v>
      </c>
    </row>
    <row r="27" spans="1:8" ht="21.95" customHeight="1">
      <c r="A27" s="44"/>
      <c r="B27" s="40"/>
      <c r="C27" s="18" t="s">
        <v>4</v>
      </c>
      <c r="D27" s="22">
        <v>2</v>
      </c>
      <c r="E27" s="21">
        <v>17</v>
      </c>
      <c r="F27" s="21">
        <v>12</v>
      </c>
      <c r="G27" s="21">
        <f t="shared" si="2"/>
        <v>5</v>
      </c>
      <c r="H27" s="35">
        <f t="shared" si="0"/>
        <v>70.588235294117652</v>
      </c>
    </row>
    <row r="28" spans="1:8" ht="21.95" customHeight="1">
      <c r="A28" s="44"/>
      <c r="B28" s="40"/>
      <c r="C28" s="18" t="s">
        <v>5</v>
      </c>
      <c r="D28" s="22">
        <v>3</v>
      </c>
      <c r="E28" s="21">
        <v>21</v>
      </c>
      <c r="F28" s="21">
        <v>15</v>
      </c>
      <c r="G28" s="21">
        <f t="shared" si="2"/>
        <v>6</v>
      </c>
      <c r="H28" s="35">
        <f t="shared" si="0"/>
        <v>71.428571428571431</v>
      </c>
    </row>
    <row r="29" spans="1:8" ht="21.95" customHeight="1">
      <c r="A29" s="44"/>
      <c r="B29" s="40"/>
      <c r="C29" s="18" t="s">
        <v>6</v>
      </c>
      <c r="D29" s="22">
        <v>2</v>
      </c>
      <c r="E29" s="21">
        <v>16</v>
      </c>
      <c r="F29" s="21">
        <v>10</v>
      </c>
      <c r="G29" s="21">
        <f t="shared" si="2"/>
        <v>6</v>
      </c>
      <c r="H29" s="35">
        <f t="shared" si="0"/>
        <v>62.5</v>
      </c>
    </row>
    <row r="30" spans="1:8" ht="21.95" customHeight="1">
      <c r="A30" s="44"/>
      <c r="B30" s="40"/>
      <c r="C30" s="18" t="s">
        <v>15</v>
      </c>
      <c r="D30" s="22">
        <v>1</v>
      </c>
      <c r="E30" s="21">
        <v>13</v>
      </c>
      <c r="F30" s="21">
        <v>8</v>
      </c>
      <c r="G30" s="21">
        <f t="shared" si="2"/>
        <v>5</v>
      </c>
      <c r="H30" s="35">
        <f t="shared" si="0"/>
        <v>61.53846153846154</v>
      </c>
    </row>
    <row r="31" spans="1:8" ht="21.95" customHeight="1">
      <c r="A31" s="44"/>
      <c r="B31" s="40"/>
      <c r="C31" s="18" t="s">
        <v>7</v>
      </c>
      <c r="D31" s="22">
        <v>5</v>
      </c>
      <c r="E31" s="21">
        <v>69</v>
      </c>
      <c r="F31" s="21">
        <v>50</v>
      </c>
      <c r="G31" s="21">
        <f t="shared" si="2"/>
        <v>19</v>
      </c>
      <c r="H31" s="35">
        <f t="shared" si="0"/>
        <v>72.463768115942031</v>
      </c>
    </row>
    <row r="32" spans="1:8" ht="21.95" customHeight="1">
      <c r="A32" s="44"/>
      <c r="B32" s="40"/>
      <c r="C32" s="18" t="s">
        <v>8</v>
      </c>
      <c r="D32" s="22">
        <v>3</v>
      </c>
      <c r="E32" s="21">
        <v>13</v>
      </c>
      <c r="F32" s="21">
        <v>10</v>
      </c>
      <c r="G32" s="21">
        <f t="shared" si="2"/>
        <v>3</v>
      </c>
      <c r="H32" s="35">
        <f t="shared" si="0"/>
        <v>76.923076923076934</v>
      </c>
    </row>
    <row r="33" spans="1:11" ht="21.95" customHeight="1">
      <c r="A33" s="44"/>
      <c r="B33" s="39" t="s">
        <v>27</v>
      </c>
      <c r="C33" s="39"/>
      <c r="D33" s="8">
        <f>SUM(D34:D57)</f>
        <v>263</v>
      </c>
      <c r="E33" s="26">
        <f>SUM(E34:E57)</f>
        <v>2612</v>
      </c>
      <c r="F33" s="26">
        <f>SUM(F34:F57)</f>
        <v>2075</v>
      </c>
      <c r="G33" s="26">
        <f>SUM(G34:G57)</f>
        <v>537</v>
      </c>
      <c r="H33" s="34">
        <f t="shared" si="0"/>
        <v>79.441041347626339</v>
      </c>
      <c r="K33" s="17"/>
    </row>
    <row r="34" spans="1:11" ht="21.95" customHeight="1">
      <c r="A34" s="44"/>
      <c r="B34" s="40" t="s">
        <v>150</v>
      </c>
      <c r="C34" s="7" t="s">
        <v>9</v>
      </c>
      <c r="D34" s="23">
        <v>8</v>
      </c>
      <c r="E34" s="27">
        <v>164</v>
      </c>
      <c r="F34" s="27">
        <v>110</v>
      </c>
      <c r="G34" s="27">
        <f>E34-F34</f>
        <v>54</v>
      </c>
      <c r="H34" s="35">
        <f t="shared" si="0"/>
        <v>67.073170731707322</v>
      </c>
    </row>
    <row r="35" spans="1:11" ht="21.95" customHeight="1">
      <c r="A35" s="44"/>
      <c r="B35" s="40"/>
      <c r="C35" s="7" t="s">
        <v>1</v>
      </c>
      <c r="D35" s="23">
        <v>17</v>
      </c>
      <c r="E35" s="27">
        <v>479</v>
      </c>
      <c r="F35" s="27">
        <v>363</v>
      </c>
      <c r="G35" s="27">
        <f t="shared" ref="G35:G57" si="3">E35-F35</f>
        <v>116</v>
      </c>
      <c r="H35" s="35">
        <f t="shared" si="0"/>
        <v>75.782881002087692</v>
      </c>
    </row>
    <row r="36" spans="1:11" ht="21.95" customHeight="1">
      <c r="A36" s="44"/>
      <c r="B36" s="40"/>
      <c r="C36" s="7" t="s">
        <v>10</v>
      </c>
      <c r="D36" s="23">
        <v>26</v>
      </c>
      <c r="E36" s="27">
        <v>195</v>
      </c>
      <c r="F36" s="27">
        <v>162</v>
      </c>
      <c r="G36" s="27">
        <f t="shared" si="3"/>
        <v>33</v>
      </c>
      <c r="H36" s="35">
        <f t="shared" si="0"/>
        <v>83.07692307692308</v>
      </c>
    </row>
    <row r="37" spans="1:11" ht="21.95" customHeight="1">
      <c r="A37" s="44"/>
      <c r="B37" s="40"/>
      <c r="C37" s="7" t="s">
        <v>11</v>
      </c>
      <c r="D37" s="23">
        <v>18</v>
      </c>
      <c r="E37" s="27">
        <v>154</v>
      </c>
      <c r="F37" s="27">
        <v>133</v>
      </c>
      <c r="G37" s="27">
        <f t="shared" si="3"/>
        <v>21</v>
      </c>
      <c r="H37" s="35">
        <f t="shared" si="0"/>
        <v>86.36363636363636</v>
      </c>
    </row>
    <row r="38" spans="1:11" ht="21.95" customHeight="1">
      <c r="A38" s="44"/>
      <c r="B38" s="40"/>
      <c r="C38" s="7" t="s">
        <v>2</v>
      </c>
      <c r="D38" s="23">
        <v>12</v>
      </c>
      <c r="E38" s="27">
        <v>225</v>
      </c>
      <c r="F38" s="27">
        <v>176</v>
      </c>
      <c r="G38" s="27">
        <f t="shared" si="3"/>
        <v>49</v>
      </c>
      <c r="H38" s="35">
        <f t="shared" si="0"/>
        <v>78.222222222222229</v>
      </c>
    </row>
    <row r="39" spans="1:11" ht="21.95" customHeight="1">
      <c r="A39" s="44"/>
      <c r="B39" s="40"/>
      <c r="C39" s="7" t="s">
        <v>12</v>
      </c>
      <c r="D39" s="23">
        <v>14</v>
      </c>
      <c r="E39" s="27">
        <v>189</v>
      </c>
      <c r="F39" s="27">
        <v>156</v>
      </c>
      <c r="G39" s="27">
        <f t="shared" si="3"/>
        <v>33</v>
      </c>
      <c r="H39" s="35">
        <f t="shared" si="0"/>
        <v>82.539682539682531</v>
      </c>
    </row>
    <row r="40" spans="1:11" ht="21.95" customHeight="1">
      <c r="A40" s="44"/>
      <c r="B40" s="40"/>
      <c r="C40" s="7" t="s">
        <v>3</v>
      </c>
      <c r="D40" s="23">
        <v>16</v>
      </c>
      <c r="E40" s="27">
        <v>130</v>
      </c>
      <c r="F40" s="27">
        <v>105</v>
      </c>
      <c r="G40" s="27">
        <f t="shared" si="3"/>
        <v>25</v>
      </c>
      <c r="H40" s="35">
        <f t="shared" si="0"/>
        <v>80.769230769230774</v>
      </c>
    </row>
    <row r="41" spans="1:11" ht="21.95" customHeight="1">
      <c r="A41" s="44"/>
      <c r="B41" s="40"/>
      <c r="C41" s="7" t="s">
        <v>13</v>
      </c>
      <c r="D41" s="23">
        <v>3</v>
      </c>
      <c r="E41" s="27">
        <v>63</v>
      </c>
      <c r="F41" s="27">
        <v>43</v>
      </c>
      <c r="G41" s="27">
        <f t="shared" si="3"/>
        <v>20</v>
      </c>
      <c r="H41" s="35">
        <f t="shared" si="0"/>
        <v>68.253968253968253</v>
      </c>
    </row>
    <row r="42" spans="1:11" ht="21.95" customHeight="1">
      <c r="A42" s="44"/>
      <c r="B42" s="40"/>
      <c r="C42" s="7" t="s">
        <v>14</v>
      </c>
      <c r="D42" s="23">
        <v>20</v>
      </c>
      <c r="E42" s="27">
        <v>160</v>
      </c>
      <c r="F42" s="27">
        <v>123</v>
      </c>
      <c r="G42" s="27">
        <f t="shared" si="3"/>
        <v>37</v>
      </c>
      <c r="H42" s="35">
        <f t="shared" si="0"/>
        <v>76.875</v>
      </c>
    </row>
    <row r="43" spans="1:11" ht="21.95" customHeight="1">
      <c r="A43" s="44"/>
      <c r="B43" s="40"/>
      <c r="C43" s="7" t="s">
        <v>4</v>
      </c>
      <c r="D43" s="23">
        <v>10</v>
      </c>
      <c r="E43" s="27">
        <v>67</v>
      </c>
      <c r="F43" s="27">
        <v>60</v>
      </c>
      <c r="G43" s="27">
        <f t="shared" si="3"/>
        <v>7</v>
      </c>
      <c r="H43" s="35">
        <f t="shared" si="0"/>
        <v>89.552238805970148</v>
      </c>
    </row>
    <row r="44" spans="1:11" ht="21.95" customHeight="1">
      <c r="A44" s="44"/>
      <c r="B44" s="40"/>
      <c r="C44" s="7" t="s">
        <v>5</v>
      </c>
      <c r="D44" s="23">
        <v>5</v>
      </c>
      <c r="E44" s="27">
        <v>78</v>
      </c>
      <c r="F44" s="27">
        <v>60</v>
      </c>
      <c r="G44" s="27">
        <f t="shared" si="3"/>
        <v>18</v>
      </c>
      <c r="H44" s="35">
        <f t="shared" si="0"/>
        <v>76.923076923076934</v>
      </c>
    </row>
    <row r="45" spans="1:11" ht="21.95" customHeight="1">
      <c r="A45" s="44"/>
      <c r="B45" s="40"/>
      <c r="C45" s="7" t="s">
        <v>6</v>
      </c>
      <c r="D45" s="23">
        <v>10</v>
      </c>
      <c r="E45" s="27">
        <v>87</v>
      </c>
      <c r="F45" s="27">
        <v>76</v>
      </c>
      <c r="G45" s="27">
        <f t="shared" si="3"/>
        <v>11</v>
      </c>
      <c r="H45" s="35">
        <f t="shared" si="0"/>
        <v>87.356321839080465</v>
      </c>
    </row>
    <row r="46" spans="1:11" ht="21.95" customHeight="1">
      <c r="A46" s="44"/>
      <c r="B46" s="40"/>
      <c r="C46" s="7" t="s">
        <v>15</v>
      </c>
      <c r="D46" s="23">
        <v>25</v>
      </c>
      <c r="E46" s="27">
        <v>89</v>
      </c>
      <c r="F46" s="27">
        <v>81</v>
      </c>
      <c r="G46" s="27">
        <f t="shared" si="3"/>
        <v>8</v>
      </c>
      <c r="H46" s="35">
        <f t="shared" si="0"/>
        <v>91.011235955056179</v>
      </c>
    </row>
    <row r="47" spans="1:11" ht="21.95" customHeight="1">
      <c r="A47" s="44"/>
      <c r="B47" s="40"/>
      <c r="C47" s="7" t="s">
        <v>16</v>
      </c>
      <c r="D47" s="23">
        <v>15</v>
      </c>
      <c r="E47" s="27">
        <v>148</v>
      </c>
      <c r="F47" s="27">
        <v>114</v>
      </c>
      <c r="G47" s="27">
        <f t="shared" si="3"/>
        <v>34</v>
      </c>
      <c r="H47" s="35">
        <f t="shared" si="0"/>
        <v>77.027027027027032</v>
      </c>
    </row>
    <row r="48" spans="1:11" ht="21.95" customHeight="1">
      <c r="A48" s="44"/>
      <c r="B48" s="40"/>
      <c r="C48" s="7" t="s">
        <v>7</v>
      </c>
      <c r="D48" s="23">
        <v>15</v>
      </c>
      <c r="E48" s="27">
        <v>101</v>
      </c>
      <c r="F48" s="27">
        <v>88</v>
      </c>
      <c r="G48" s="27">
        <f t="shared" si="3"/>
        <v>13</v>
      </c>
      <c r="H48" s="35">
        <f t="shared" si="0"/>
        <v>87.128712871287135</v>
      </c>
    </row>
    <row r="49" spans="1:8" ht="21.95" customHeight="1">
      <c r="A49" s="44"/>
      <c r="B49" s="40"/>
      <c r="C49" s="7" t="s">
        <v>8</v>
      </c>
      <c r="D49" s="23">
        <v>35</v>
      </c>
      <c r="E49" s="27">
        <v>151</v>
      </c>
      <c r="F49" s="27">
        <v>128</v>
      </c>
      <c r="G49" s="27">
        <f t="shared" si="3"/>
        <v>23</v>
      </c>
      <c r="H49" s="35">
        <f t="shared" si="0"/>
        <v>84.768211920529808</v>
      </c>
    </row>
    <row r="50" spans="1:8" ht="21.95" customHeight="1">
      <c r="A50" s="44"/>
      <c r="B50" s="40"/>
      <c r="C50" s="7" t="s">
        <v>17</v>
      </c>
      <c r="D50" s="23">
        <v>3</v>
      </c>
      <c r="E50" s="27">
        <v>26</v>
      </c>
      <c r="F50" s="27">
        <v>20</v>
      </c>
      <c r="G50" s="27">
        <f t="shared" si="3"/>
        <v>6</v>
      </c>
      <c r="H50" s="35">
        <f t="shared" si="0"/>
        <v>76.923076923076934</v>
      </c>
    </row>
    <row r="51" spans="1:8" ht="21.95" customHeight="1">
      <c r="A51" s="44"/>
      <c r="B51" s="40"/>
      <c r="C51" s="7" t="s">
        <v>141</v>
      </c>
      <c r="D51" s="23">
        <v>1</v>
      </c>
      <c r="E51" s="27">
        <v>35</v>
      </c>
      <c r="F51" s="27">
        <v>27</v>
      </c>
      <c r="G51" s="27">
        <f t="shared" si="3"/>
        <v>8</v>
      </c>
      <c r="H51" s="35">
        <f t="shared" si="0"/>
        <v>77.142857142857153</v>
      </c>
    </row>
    <row r="52" spans="1:8" ht="21.95" customHeight="1">
      <c r="A52" s="44"/>
      <c r="B52" s="40"/>
      <c r="C52" s="7" t="s">
        <v>40</v>
      </c>
      <c r="D52" s="23">
        <v>1</v>
      </c>
      <c r="E52" s="27">
        <v>7</v>
      </c>
      <c r="F52" s="27">
        <v>5</v>
      </c>
      <c r="G52" s="27">
        <f t="shared" si="3"/>
        <v>2</v>
      </c>
      <c r="H52" s="35">
        <f t="shared" si="0"/>
        <v>71.428571428571431</v>
      </c>
    </row>
    <row r="53" spans="1:8" ht="21.95" customHeight="1">
      <c r="A53" s="44"/>
      <c r="B53" s="40"/>
      <c r="C53" s="7" t="s">
        <v>142</v>
      </c>
      <c r="D53" s="23">
        <v>3</v>
      </c>
      <c r="E53" s="27">
        <v>27</v>
      </c>
      <c r="F53" s="27">
        <v>19</v>
      </c>
      <c r="G53" s="27">
        <f t="shared" si="3"/>
        <v>8</v>
      </c>
      <c r="H53" s="35">
        <f t="shared" si="0"/>
        <v>70.370370370370367</v>
      </c>
    </row>
    <row r="54" spans="1:8" ht="21.95" customHeight="1">
      <c r="A54" s="44"/>
      <c r="B54" s="40"/>
      <c r="C54" s="7" t="s">
        <v>143</v>
      </c>
      <c r="D54" s="23">
        <v>3</v>
      </c>
      <c r="E54" s="27">
        <v>11</v>
      </c>
      <c r="F54" s="27">
        <v>7</v>
      </c>
      <c r="G54" s="27">
        <f t="shared" si="3"/>
        <v>4</v>
      </c>
      <c r="H54" s="35">
        <f t="shared" si="0"/>
        <v>63.636363636363633</v>
      </c>
    </row>
    <row r="55" spans="1:8" ht="21.95" customHeight="1">
      <c r="A55" s="44"/>
      <c r="B55" s="40"/>
      <c r="C55" s="7" t="s">
        <v>144</v>
      </c>
      <c r="D55" s="23">
        <v>1</v>
      </c>
      <c r="E55" s="27">
        <v>11</v>
      </c>
      <c r="F55" s="27">
        <v>7</v>
      </c>
      <c r="G55" s="27">
        <f t="shared" si="3"/>
        <v>4</v>
      </c>
      <c r="H55" s="35">
        <f t="shared" si="0"/>
        <v>63.636363636363633</v>
      </c>
    </row>
    <row r="56" spans="1:8" ht="21.95" customHeight="1">
      <c r="A56" s="44"/>
      <c r="B56" s="40"/>
      <c r="C56" s="7" t="s">
        <v>145</v>
      </c>
      <c r="D56" s="23">
        <v>1</v>
      </c>
      <c r="E56" s="27">
        <v>4</v>
      </c>
      <c r="F56" s="27">
        <v>3</v>
      </c>
      <c r="G56" s="27">
        <f t="shared" si="3"/>
        <v>1</v>
      </c>
      <c r="H56" s="35">
        <f t="shared" si="0"/>
        <v>75</v>
      </c>
    </row>
    <row r="57" spans="1:8" ht="21.95" customHeight="1">
      <c r="A57" s="44"/>
      <c r="B57" s="40"/>
      <c r="C57" s="7" t="s">
        <v>19</v>
      </c>
      <c r="D57" s="23">
        <v>1</v>
      </c>
      <c r="E57" s="27">
        <v>11</v>
      </c>
      <c r="F57" s="27">
        <v>9</v>
      </c>
      <c r="G57" s="27">
        <f t="shared" si="3"/>
        <v>2</v>
      </c>
      <c r="H57" s="35">
        <f t="shared" si="0"/>
        <v>81.818181818181827</v>
      </c>
    </row>
    <row r="58" spans="1:8" ht="21.95" customHeight="1">
      <c r="A58" s="44"/>
      <c r="B58" s="39" t="s">
        <v>27</v>
      </c>
      <c r="C58" s="39"/>
      <c r="D58" s="8">
        <f>SUM(D59:D74)</f>
        <v>69</v>
      </c>
      <c r="E58" s="26">
        <f>SUM(E59:E74)</f>
        <v>65</v>
      </c>
      <c r="F58" s="26">
        <f>SUM(F59:F74)</f>
        <v>55</v>
      </c>
      <c r="G58" s="26">
        <f>SUM(G59:G74)</f>
        <v>10</v>
      </c>
      <c r="H58" s="34">
        <f t="shared" si="0"/>
        <v>84.615384615384613</v>
      </c>
    </row>
    <row r="59" spans="1:8" ht="21.95" customHeight="1">
      <c r="A59" s="44"/>
      <c r="B59" s="40" t="s">
        <v>151</v>
      </c>
      <c r="C59" s="7" t="s">
        <v>9</v>
      </c>
      <c r="D59" s="22">
        <v>5</v>
      </c>
      <c r="E59" s="21">
        <v>7</v>
      </c>
      <c r="F59" s="21">
        <v>7</v>
      </c>
      <c r="G59" s="21">
        <f>E59-F59</f>
        <v>0</v>
      </c>
      <c r="H59" s="35">
        <f t="shared" si="0"/>
        <v>100</v>
      </c>
    </row>
    <row r="60" spans="1:8" ht="21.95" customHeight="1">
      <c r="A60" s="44"/>
      <c r="B60" s="40"/>
      <c r="C60" s="7" t="s">
        <v>1</v>
      </c>
      <c r="D60" s="22">
        <v>3</v>
      </c>
      <c r="E60" s="21">
        <v>17</v>
      </c>
      <c r="F60" s="21">
        <v>15</v>
      </c>
      <c r="G60" s="21">
        <f t="shared" ref="G60:G74" si="4">E60-F60</f>
        <v>2</v>
      </c>
      <c r="H60" s="35">
        <f t="shared" si="0"/>
        <v>88.235294117647058</v>
      </c>
    </row>
    <row r="61" spans="1:8" ht="21.95" customHeight="1">
      <c r="A61" s="44"/>
      <c r="B61" s="40"/>
      <c r="C61" s="7" t="s">
        <v>10</v>
      </c>
      <c r="D61" s="22">
        <v>5</v>
      </c>
      <c r="E61" s="21">
        <v>3</v>
      </c>
      <c r="F61" s="21">
        <v>1</v>
      </c>
      <c r="G61" s="21">
        <f t="shared" si="4"/>
        <v>2</v>
      </c>
      <c r="H61" s="35">
        <f t="shared" si="0"/>
        <v>33.333333333333329</v>
      </c>
    </row>
    <row r="62" spans="1:8" ht="21.95" customHeight="1">
      <c r="A62" s="44"/>
      <c r="B62" s="40"/>
      <c r="C62" s="7" t="s">
        <v>11</v>
      </c>
      <c r="D62" s="22">
        <v>3</v>
      </c>
      <c r="E62" s="21">
        <v>3</v>
      </c>
      <c r="F62" s="21">
        <v>2</v>
      </c>
      <c r="G62" s="21">
        <f t="shared" si="4"/>
        <v>1</v>
      </c>
      <c r="H62" s="35">
        <f t="shared" si="0"/>
        <v>66.666666666666657</v>
      </c>
    </row>
    <row r="63" spans="1:8" ht="21.95" customHeight="1">
      <c r="A63" s="44"/>
      <c r="B63" s="40"/>
      <c r="C63" s="7" t="s">
        <v>2</v>
      </c>
      <c r="D63" s="22">
        <v>4</v>
      </c>
      <c r="E63" s="21">
        <v>5</v>
      </c>
      <c r="F63" s="21">
        <v>3</v>
      </c>
      <c r="G63" s="21">
        <f t="shared" si="4"/>
        <v>2</v>
      </c>
      <c r="H63" s="35">
        <f t="shared" si="0"/>
        <v>60</v>
      </c>
    </row>
    <row r="64" spans="1:8" ht="21.95" customHeight="1">
      <c r="A64" s="44"/>
      <c r="B64" s="40"/>
      <c r="C64" s="7" t="s">
        <v>12</v>
      </c>
      <c r="D64" s="22">
        <v>6</v>
      </c>
      <c r="E64" s="21">
        <v>6</v>
      </c>
      <c r="F64" s="21">
        <v>4</v>
      </c>
      <c r="G64" s="21">
        <f t="shared" si="4"/>
        <v>2</v>
      </c>
      <c r="H64" s="35">
        <f t="shared" si="0"/>
        <v>66.666666666666657</v>
      </c>
    </row>
    <row r="65" spans="1:8" ht="21.95" customHeight="1">
      <c r="A65" s="44"/>
      <c r="B65" s="40"/>
      <c r="C65" s="7" t="s">
        <v>3</v>
      </c>
      <c r="D65" s="22">
        <v>3</v>
      </c>
      <c r="E65" s="21">
        <v>4</v>
      </c>
      <c r="F65" s="21">
        <v>3</v>
      </c>
      <c r="G65" s="21">
        <f t="shared" si="4"/>
        <v>1</v>
      </c>
      <c r="H65" s="35">
        <f t="shared" si="0"/>
        <v>75</v>
      </c>
    </row>
    <row r="66" spans="1:8" ht="21.95" customHeight="1">
      <c r="A66" s="44"/>
      <c r="B66" s="40"/>
      <c r="C66" s="7" t="s">
        <v>13</v>
      </c>
      <c r="D66" s="22">
        <v>1</v>
      </c>
      <c r="E66" s="21">
        <v>2</v>
      </c>
      <c r="F66" s="21">
        <v>2</v>
      </c>
      <c r="G66" s="21">
        <f t="shared" si="4"/>
        <v>0</v>
      </c>
      <c r="H66" s="35">
        <f t="shared" si="0"/>
        <v>100</v>
      </c>
    </row>
    <row r="67" spans="1:8" ht="21.95" customHeight="1">
      <c r="A67" s="44"/>
      <c r="B67" s="40"/>
      <c r="C67" s="7" t="s">
        <v>14</v>
      </c>
      <c r="D67" s="22">
        <v>10</v>
      </c>
      <c r="E67" s="21">
        <v>6</v>
      </c>
      <c r="F67" s="21">
        <v>6</v>
      </c>
      <c r="G67" s="21">
        <f t="shared" si="4"/>
        <v>0</v>
      </c>
      <c r="H67" s="35">
        <f t="shared" si="0"/>
        <v>100</v>
      </c>
    </row>
    <row r="68" spans="1:8" ht="21.95" customHeight="1">
      <c r="A68" s="44"/>
      <c r="B68" s="40"/>
      <c r="C68" s="7" t="s">
        <v>4</v>
      </c>
      <c r="D68" s="22">
        <v>7</v>
      </c>
      <c r="E68" s="21">
        <v>2</v>
      </c>
      <c r="F68" s="21">
        <v>2</v>
      </c>
      <c r="G68" s="21">
        <f t="shared" si="4"/>
        <v>0</v>
      </c>
      <c r="H68" s="35">
        <f t="shared" si="0"/>
        <v>100</v>
      </c>
    </row>
    <row r="69" spans="1:8" ht="21.95" customHeight="1">
      <c r="A69" s="44"/>
      <c r="B69" s="40"/>
      <c r="C69" s="7" t="s">
        <v>5</v>
      </c>
      <c r="D69" s="22">
        <v>1</v>
      </c>
      <c r="E69" s="21">
        <v>0</v>
      </c>
      <c r="F69" s="21">
        <v>0</v>
      </c>
      <c r="G69" s="21">
        <f t="shared" si="4"/>
        <v>0</v>
      </c>
      <c r="H69" s="35" t="s">
        <v>158</v>
      </c>
    </row>
    <row r="70" spans="1:8" ht="21.95" customHeight="1">
      <c r="A70" s="44"/>
      <c r="B70" s="40"/>
      <c r="C70" s="18" t="s">
        <v>6</v>
      </c>
      <c r="D70" s="22">
        <v>7</v>
      </c>
      <c r="E70" s="21">
        <v>3</v>
      </c>
      <c r="F70" s="21">
        <v>3</v>
      </c>
      <c r="G70" s="21">
        <f t="shared" si="4"/>
        <v>0</v>
      </c>
      <c r="H70" s="35">
        <f t="shared" ref="H70:H133" si="5">F70/E70*100</f>
        <v>100</v>
      </c>
    </row>
    <row r="71" spans="1:8" ht="21.95" customHeight="1">
      <c r="A71" s="44"/>
      <c r="B71" s="40"/>
      <c r="C71" s="7" t="s">
        <v>57</v>
      </c>
      <c r="D71" s="22">
        <v>5</v>
      </c>
      <c r="E71" s="21">
        <v>0</v>
      </c>
      <c r="F71" s="21">
        <v>0</v>
      </c>
      <c r="G71" s="21">
        <f t="shared" si="4"/>
        <v>0</v>
      </c>
      <c r="H71" s="35" t="s">
        <v>158</v>
      </c>
    </row>
    <row r="72" spans="1:8" ht="21.95" customHeight="1">
      <c r="A72" s="44"/>
      <c r="B72" s="40"/>
      <c r="C72" s="7" t="s">
        <v>16</v>
      </c>
      <c r="D72" s="22">
        <v>4</v>
      </c>
      <c r="E72" s="21">
        <v>2</v>
      </c>
      <c r="F72" s="21">
        <v>2</v>
      </c>
      <c r="G72" s="21">
        <f t="shared" si="4"/>
        <v>0</v>
      </c>
      <c r="H72" s="35">
        <f t="shared" si="5"/>
        <v>100</v>
      </c>
    </row>
    <row r="73" spans="1:8" ht="21.95" customHeight="1">
      <c r="A73" s="44"/>
      <c r="B73" s="40"/>
      <c r="C73" s="7" t="s">
        <v>7</v>
      </c>
      <c r="D73" s="22">
        <v>2</v>
      </c>
      <c r="E73" s="21">
        <v>3</v>
      </c>
      <c r="F73" s="21">
        <v>3</v>
      </c>
      <c r="G73" s="21">
        <f t="shared" si="4"/>
        <v>0</v>
      </c>
      <c r="H73" s="35">
        <f t="shared" si="5"/>
        <v>100</v>
      </c>
    </row>
    <row r="74" spans="1:8" ht="21.95" customHeight="1">
      <c r="A74" s="44"/>
      <c r="B74" s="40"/>
      <c r="C74" s="7" t="s">
        <v>8</v>
      </c>
      <c r="D74" s="22">
        <v>3</v>
      </c>
      <c r="E74" s="21">
        <v>2</v>
      </c>
      <c r="F74" s="21">
        <v>2</v>
      </c>
      <c r="G74" s="21">
        <f t="shared" si="4"/>
        <v>0</v>
      </c>
      <c r="H74" s="35">
        <f t="shared" si="5"/>
        <v>100</v>
      </c>
    </row>
    <row r="75" spans="1:8" ht="21.95" customHeight="1">
      <c r="A75" s="44"/>
      <c r="B75" s="39" t="s">
        <v>27</v>
      </c>
      <c r="C75" s="39"/>
      <c r="D75" s="8">
        <f>SUM(D76:D89)</f>
        <v>21</v>
      </c>
      <c r="E75" s="26">
        <f>SUM(E76:E89)</f>
        <v>40</v>
      </c>
      <c r="F75" s="26">
        <f>SUM(F76:F89)</f>
        <v>33</v>
      </c>
      <c r="G75" s="26">
        <f>SUM(G76:G89)</f>
        <v>7</v>
      </c>
      <c r="H75" s="34">
        <f t="shared" si="5"/>
        <v>82.5</v>
      </c>
    </row>
    <row r="76" spans="1:8" ht="21.95" customHeight="1">
      <c r="A76" s="44"/>
      <c r="B76" s="40" t="s">
        <v>152</v>
      </c>
      <c r="C76" s="18" t="s">
        <v>9</v>
      </c>
      <c r="D76" s="22">
        <v>1</v>
      </c>
      <c r="E76" s="21">
        <v>2</v>
      </c>
      <c r="F76" s="21">
        <v>2</v>
      </c>
      <c r="G76" s="21">
        <f t="shared" ref="G76:G89" si="6">E76-F76</f>
        <v>0</v>
      </c>
      <c r="H76" s="35">
        <f t="shared" si="5"/>
        <v>100</v>
      </c>
    </row>
    <row r="77" spans="1:8" ht="21.95" customHeight="1">
      <c r="A77" s="44"/>
      <c r="B77" s="40"/>
      <c r="C77" s="18" t="s">
        <v>1</v>
      </c>
      <c r="D77" s="22">
        <v>1</v>
      </c>
      <c r="E77" s="21">
        <v>6</v>
      </c>
      <c r="F77" s="21">
        <v>5</v>
      </c>
      <c r="G77" s="21">
        <f t="shared" si="6"/>
        <v>1</v>
      </c>
      <c r="H77" s="35">
        <f t="shared" si="5"/>
        <v>83.333333333333343</v>
      </c>
    </row>
    <row r="78" spans="1:8" ht="21.95" customHeight="1">
      <c r="A78" s="44"/>
      <c r="B78" s="40"/>
      <c r="C78" s="18" t="s">
        <v>10</v>
      </c>
      <c r="D78" s="22">
        <v>1</v>
      </c>
      <c r="E78" s="21">
        <v>1</v>
      </c>
      <c r="F78" s="21">
        <v>1</v>
      </c>
      <c r="G78" s="21">
        <f t="shared" si="6"/>
        <v>0</v>
      </c>
      <c r="H78" s="35">
        <f t="shared" si="5"/>
        <v>100</v>
      </c>
    </row>
    <row r="79" spans="1:8" ht="21.95" customHeight="1">
      <c r="A79" s="44"/>
      <c r="B79" s="40"/>
      <c r="C79" s="18" t="s">
        <v>11</v>
      </c>
      <c r="D79" s="22">
        <v>2</v>
      </c>
      <c r="E79" s="21">
        <v>0</v>
      </c>
      <c r="F79" s="21">
        <v>0</v>
      </c>
      <c r="G79" s="21">
        <f t="shared" si="6"/>
        <v>0</v>
      </c>
      <c r="H79" s="35" t="s">
        <v>158</v>
      </c>
    </row>
    <row r="80" spans="1:8" ht="21.95" customHeight="1">
      <c r="A80" s="44"/>
      <c r="B80" s="40"/>
      <c r="C80" s="18" t="s">
        <v>2</v>
      </c>
      <c r="D80" s="22">
        <v>2</v>
      </c>
      <c r="E80" s="21">
        <v>9</v>
      </c>
      <c r="F80" s="21">
        <v>5</v>
      </c>
      <c r="G80" s="21">
        <f t="shared" si="6"/>
        <v>4</v>
      </c>
      <c r="H80" s="35">
        <f t="shared" si="5"/>
        <v>55.555555555555557</v>
      </c>
    </row>
    <row r="81" spans="1:8" ht="21.95" customHeight="1">
      <c r="A81" s="44"/>
      <c r="B81" s="40"/>
      <c r="C81" s="18" t="s">
        <v>3</v>
      </c>
      <c r="D81" s="22">
        <v>2</v>
      </c>
      <c r="E81" s="21">
        <v>3</v>
      </c>
      <c r="F81" s="21">
        <v>3</v>
      </c>
      <c r="G81" s="21">
        <f t="shared" si="6"/>
        <v>0</v>
      </c>
      <c r="H81" s="35">
        <f t="shared" si="5"/>
        <v>100</v>
      </c>
    </row>
    <row r="82" spans="1:8" ht="21.95" customHeight="1">
      <c r="A82" s="44"/>
      <c r="B82" s="40"/>
      <c r="C82" s="18" t="s">
        <v>14</v>
      </c>
      <c r="D82" s="22">
        <v>1</v>
      </c>
      <c r="E82" s="21">
        <v>1</v>
      </c>
      <c r="F82" s="21">
        <v>1</v>
      </c>
      <c r="G82" s="21">
        <f t="shared" si="6"/>
        <v>0</v>
      </c>
      <c r="H82" s="35">
        <f t="shared" si="5"/>
        <v>100</v>
      </c>
    </row>
    <row r="83" spans="1:8" ht="21.95" customHeight="1">
      <c r="A83" s="44"/>
      <c r="B83" s="40"/>
      <c r="C83" s="18" t="s">
        <v>4</v>
      </c>
      <c r="D83" s="22">
        <v>2</v>
      </c>
      <c r="E83" s="21">
        <v>4</v>
      </c>
      <c r="F83" s="21">
        <v>4</v>
      </c>
      <c r="G83" s="21">
        <f t="shared" si="6"/>
        <v>0</v>
      </c>
      <c r="H83" s="35">
        <f t="shared" si="5"/>
        <v>100</v>
      </c>
    </row>
    <row r="84" spans="1:8" ht="21.95" customHeight="1">
      <c r="A84" s="44"/>
      <c r="B84" s="40"/>
      <c r="C84" s="18" t="s">
        <v>5</v>
      </c>
      <c r="D84" s="22">
        <v>1</v>
      </c>
      <c r="E84" s="21">
        <v>2</v>
      </c>
      <c r="F84" s="21">
        <v>2</v>
      </c>
      <c r="G84" s="21">
        <f t="shared" si="6"/>
        <v>0</v>
      </c>
      <c r="H84" s="35">
        <f t="shared" si="5"/>
        <v>100</v>
      </c>
    </row>
    <row r="85" spans="1:8" ht="21.95" customHeight="1">
      <c r="A85" s="44"/>
      <c r="B85" s="40"/>
      <c r="C85" s="18" t="s">
        <v>6</v>
      </c>
      <c r="D85" s="22">
        <v>1</v>
      </c>
      <c r="E85" s="21">
        <v>0</v>
      </c>
      <c r="F85" s="21">
        <v>0</v>
      </c>
      <c r="G85" s="21">
        <f t="shared" si="6"/>
        <v>0</v>
      </c>
      <c r="H85" s="35" t="s">
        <v>158</v>
      </c>
    </row>
    <row r="86" spans="1:8" ht="21.95" customHeight="1">
      <c r="A86" s="44"/>
      <c r="B86" s="40"/>
      <c r="C86" s="18" t="s">
        <v>15</v>
      </c>
      <c r="D86" s="22">
        <v>2</v>
      </c>
      <c r="E86" s="21">
        <v>3</v>
      </c>
      <c r="F86" s="21">
        <v>3</v>
      </c>
      <c r="G86" s="21">
        <f t="shared" si="6"/>
        <v>0</v>
      </c>
      <c r="H86" s="35">
        <f t="shared" si="5"/>
        <v>100</v>
      </c>
    </row>
    <row r="87" spans="1:8" ht="21.95" customHeight="1">
      <c r="A87" s="44"/>
      <c r="B87" s="40"/>
      <c r="C87" s="18" t="s">
        <v>16</v>
      </c>
      <c r="D87" s="22">
        <v>2</v>
      </c>
      <c r="E87" s="21">
        <v>5</v>
      </c>
      <c r="F87" s="21">
        <v>3</v>
      </c>
      <c r="G87" s="21">
        <f t="shared" si="6"/>
        <v>2</v>
      </c>
      <c r="H87" s="35">
        <f t="shared" si="5"/>
        <v>60</v>
      </c>
    </row>
    <row r="88" spans="1:8" ht="21.95" customHeight="1">
      <c r="A88" s="44"/>
      <c r="B88" s="40"/>
      <c r="C88" s="18" t="s">
        <v>7</v>
      </c>
      <c r="D88" s="22">
        <v>1</v>
      </c>
      <c r="E88" s="21">
        <v>1</v>
      </c>
      <c r="F88" s="21">
        <v>1</v>
      </c>
      <c r="G88" s="21">
        <f t="shared" si="6"/>
        <v>0</v>
      </c>
      <c r="H88" s="35">
        <f t="shared" si="5"/>
        <v>100</v>
      </c>
    </row>
    <row r="89" spans="1:8" ht="21.95" customHeight="1">
      <c r="A89" s="44"/>
      <c r="B89" s="40"/>
      <c r="C89" s="18" t="s">
        <v>8</v>
      </c>
      <c r="D89" s="22">
        <v>2</v>
      </c>
      <c r="E89" s="21">
        <v>3</v>
      </c>
      <c r="F89" s="21">
        <v>3</v>
      </c>
      <c r="G89" s="21">
        <f t="shared" si="6"/>
        <v>0</v>
      </c>
      <c r="H89" s="35">
        <f t="shared" si="5"/>
        <v>100</v>
      </c>
    </row>
    <row r="90" spans="1:8" ht="21.95" customHeight="1">
      <c r="A90" s="44"/>
      <c r="B90" s="39" t="s">
        <v>27</v>
      </c>
      <c r="C90" s="39"/>
      <c r="D90" s="8">
        <f>SUM(D91:D102)</f>
        <v>25</v>
      </c>
      <c r="E90" s="26">
        <f>SUM(E91:E102)</f>
        <v>232</v>
      </c>
      <c r="F90" s="26">
        <f>SUM(F91:F102)</f>
        <v>158</v>
      </c>
      <c r="G90" s="26">
        <f>SUM(G91:G102)</f>
        <v>74</v>
      </c>
      <c r="H90" s="34">
        <f t="shared" si="5"/>
        <v>68.103448275862064</v>
      </c>
    </row>
    <row r="91" spans="1:8" ht="21.95" customHeight="1">
      <c r="A91" s="44"/>
      <c r="B91" s="41" t="s">
        <v>41</v>
      </c>
      <c r="C91" s="18" t="s">
        <v>1</v>
      </c>
      <c r="D91" s="22">
        <v>3</v>
      </c>
      <c r="E91" s="21">
        <v>66</v>
      </c>
      <c r="F91" s="21">
        <v>42</v>
      </c>
      <c r="G91" s="21">
        <f t="shared" ref="G91:G102" si="7">E91-F91</f>
        <v>24</v>
      </c>
      <c r="H91" s="35">
        <f t="shared" si="5"/>
        <v>63.636363636363633</v>
      </c>
    </row>
    <row r="92" spans="1:8" ht="21.95" customHeight="1">
      <c r="A92" s="44"/>
      <c r="B92" s="42"/>
      <c r="C92" s="18" t="s">
        <v>10</v>
      </c>
      <c r="D92" s="22">
        <v>3</v>
      </c>
      <c r="E92" s="21">
        <v>28</v>
      </c>
      <c r="F92" s="21">
        <v>19</v>
      </c>
      <c r="G92" s="21">
        <f t="shared" si="7"/>
        <v>9</v>
      </c>
      <c r="H92" s="35">
        <f t="shared" si="5"/>
        <v>67.857142857142861</v>
      </c>
    </row>
    <row r="93" spans="1:8" ht="21.95" customHeight="1">
      <c r="A93" s="44"/>
      <c r="B93" s="42"/>
      <c r="C93" s="18" t="s">
        <v>11</v>
      </c>
      <c r="D93" s="22">
        <v>1</v>
      </c>
      <c r="E93" s="21">
        <v>5</v>
      </c>
      <c r="F93" s="21">
        <v>4</v>
      </c>
      <c r="G93" s="21">
        <f t="shared" si="7"/>
        <v>1</v>
      </c>
      <c r="H93" s="35">
        <f t="shared" si="5"/>
        <v>80</v>
      </c>
    </row>
    <row r="94" spans="1:8" ht="21.95" customHeight="1">
      <c r="A94" s="44"/>
      <c r="B94" s="42"/>
      <c r="C94" s="18" t="s">
        <v>2</v>
      </c>
      <c r="D94" s="22">
        <v>4</v>
      </c>
      <c r="E94" s="21">
        <v>42</v>
      </c>
      <c r="F94" s="21">
        <v>27</v>
      </c>
      <c r="G94" s="21">
        <f t="shared" si="7"/>
        <v>15</v>
      </c>
      <c r="H94" s="35">
        <f t="shared" si="5"/>
        <v>64.285714285714292</v>
      </c>
    </row>
    <row r="95" spans="1:8" ht="21.95" customHeight="1">
      <c r="A95" s="44"/>
      <c r="B95" s="42"/>
      <c r="C95" s="18" t="s">
        <v>12</v>
      </c>
      <c r="D95" s="22">
        <v>2</v>
      </c>
      <c r="E95" s="21">
        <v>20</v>
      </c>
      <c r="F95" s="21">
        <v>17</v>
      </c>
      <c r="G95" s="21">
        <f t="shared" si="7"/>
        <v>3</v>
      </c>
      <c r="H95" s="35">
        <f t="shared" si="5"/>
        <v>85</v>
      </c>
    </row>
    <row r="96" spans="1:8" ht="21.95" customHeight="1">
      <c r="A96" s="44"/>
      <c r="B96" s="42"/>
      <c r="C96" s="18" t="s">
        <v>3</v>
      </c>
      <c r="D96" s="22">
        <v>1</v>
      </c>
      <c r="E96" s="21">
        <v>13</v>
      </c>
      <c r="F96" s="21">
        <v>5</v>
      </c>
      <c r="G96" s="21">
        <f t="shared" si="7"/>
        <v>8</v>
      </c>
      <c r="H96" s="35">
        <f t="shared" si="5"/>
        <v>38.461538461538467</v>
      </c>
    </row>
    <row r="97" spans="1:8" ht="21.95" customHeight="1">
      <c r="A97" s="44"/>
      <c r="B97" s="42"/>
      <c r="C97" s="18" t="s">
        <v>4</v>
      </c>
      <c r="D97" s="22">
        <v>1</v>
      </c>
      <c r="E97" s="21">
        <v>6</v>
      </c>
      <c r="F97" s="21">
        <v>3</v>
      </c>
      <c r="G97" s="21">
        <f t="shared" si="7"/>
        <v>3</v>
      </c>
      <c r="H97" s="35">
        <f t="shared" si="5"/>
        <v>50</v>
      </c>
    </row>
    <row r="98" spans="1:8" ht="21.95" customHeight="1">
      <c r="A98" s="44"/>
      <c r="B98" s="42"/>
      <c r="C98" s="18" t="s">
        <v>6</v>
      </c>
      <c r="D98" s="22">
        <v>1</v>
      </c>
      <c r="E98" s="21">
        <v>6</v>
      </c>
      <c r="F98" s="21">
        <v>4</v>
      </c>
      <c r="G98" s="21">
        <f t="shared" si="7"/>
        <v>2</v>
      </c>
      <c r="H98" s="35">
        <f t="shared" si="5"/>
        <v>66.666666666666657</v>
      </c>
    </row>
    <row r="99" spans="1:8" ht="21.95" customHeight="1">
      <c r="A99" s="44"/>
      <c r="B99" s="42"/>
      <c r="C99" s="18" t="s">
        <v>15</v>
      </c>
      <c r="D99" s="22">
        <v>2</v>
      </c>
      <c r="E99" s="21">
        <v>6</v>
      </c>
      <c r="F99" s="21">
        <v>4</v>
      </c>
      <c r="G99" s="21">
        <f t="shared" si="7"/>
        <v>2</v>
      </c>
      <c r="H99" s="35">
        <f t="shared" si="5"/>
        <v>66.666666666666657</v>
      </c>
    </row>
    <row r="100" spans="1:8" ht="21.95" customHeight="1">
      <c r="A100" s="44"/>
      <c r="B100" s="42"/>
      <c r="C100" s="18" t="s">
        <v>16</v>
      </c>
      <c r="D100" s="22">
        <v>3</v>
      </c>
      <c r="E100" s="21">
        <v>19</v>
      </c>
      <c r="F100" s="21">
        <v>16</v>
      </c>
      <c r="G100" s="21">
        <f t="shared" si="7"/>
        <v>3</v>
      </c>
      <c r="H100" s="35">
        <f t="shared" si="5"/>
        <v>84.210526315789465</v>
      </c>
    </row>
    <row r="101" spans="1:8" ht="21.95" customHeight="1">
      <c r="A101" s="44"/>
      <c r="B101" s="42"/>
      <c r="C101" s="18" t="s">
        <v>7</v>
      </c>
      <c r="D101" s="22">
        <v>2</v>
      </c>
      <c r="E101" s="21">
        <v>7</v>
      </c>
      <c r="F101" s="21">
        <v>6</v>
      </c>
      <c r="G101" s="21">
        <f t="shared" si="7"/>
        <v>1</v>
      </c>
      <c r="H101" s="35">
        <f t="shared" si="5"/>
        <v>85.714285714285708</v>
      </c>
    </row>
    <row r="102" spans="1:8" ht="21.95" customHeight="1">
      <c r="A102" s="44"/>
      <c r="B102" s="42"/>
      <c r="C102" s="7" t="s">
        <v>8</v>
      </c>
      <c r="D102" s="22">
        <v>2</v>
      </c>
      <c r="E102" s="21">
        <v>14</v>
      </c>
      <c r="F102" s="21">
        <v>11</v>
      </c>
      <c r="G102" s="21">
        <f t="shared" si="7"/>
        <v>3</v>
      </c>
      <c r="H102" s="35">
        <f t="shared" si="5"/>
        <v>78.571428571428569</v>
      </c>
    </row>
    <row r="103" spans="1:8" ht="21.95" customHeight="1">
      <c r="A103" s="44"/>
      <c r="B103" s="39" t="s">
        <v>27</v>
      </c>
      <c r="C103" s="39"/>
      <c r="D103" s="8">
        <f>SUM(D104:D105)</f>
        <v>2</v>
      </c>
      <c r="E103" s="26">
        <f>SUM(E104:E105)</f>
        <v>0</v>
      </c>
      <c r="F103" s="26">
        <f>SUM(F104:F105)</f>
        <v>0</v>
      </c>
      <c r="G103" s="26">
        <f>SUM(G104:G105)</f>
        <v>0</v>
      </c>
      <c r="H103" s="34" t="s">
        <v>158</v>
      </c>
    </row>
    <row r="104" spans="1:8" ht="21.95" customHeight="1">
      <c r="A104" s="44"/>
      <c r="B104" s="41" t="s">
        <v>42</v>
      </c>
      <c r="C104" s="18" t="s">
        <v>3</v>
      </c>
      <c r="D104" s="22">
        <v>1</v>
      </c>
      <c r="E104" s="21">
        <v>0</v>
      </c>
      <c r="F104" s="21">
        <v>0</v>
      </c>
      <c r="G104" s="21">
        <f>E104-F104</f>
        <v>0</v>
      </c>
      <c r="H104" s="35" t="s">
        <v>158</v>
      </c>
    </row>
    <row r="105" spans="1:8" ht="21.95" customHeight="1">
      <c r="A105" s="44"/>
      <c r="B105" s="47"/>
      <c r="C105" s="7" t="s">
        <v>58</v>
      </c>
      <c r="D105" s="22">
        <v>1</v>
      </c>
      <c r="E105" s="21">
        <v>0</v>
      </c>
      <c r="F105" s="21">
        <v>0</v>
      </c>
      <c r="G105" s="21">
        <f>E105-F105</f>
        <v>0</v>
      </c>
      <c r="H105" s="35" t="s">
        <v>158</v>
      </c>
    </row>
    <row r="106" spans="1:8" ht="21.95" customHeight="1">
      <c r="A106" s="44"/>
      <c r="B106" s="39" t="s">
        <v>27</v>
      </c>
      <c r="C106" s="39"/>
      <c r="D106" s="8">
        <f>SUM(D107:D108)</f>
        <v>2</v>
      </c>
      <c r="E106" s="26">
        <f>SUM(E107:E108)</f>
        <v>1</v>
      </c>
      <c r="F106" s="26">
        <f>SUM(F107:F108)</f>
        <v>1</v>
      </c>
      <c r="G106" s="26">
        <f>SUM(G107:G108)</f>
        <v>0</v>
      </c>
      <c r="H106" s="34">
        <f t="shared" si="5"/>
        <v>100</v>
      </c>
    </row>
    <row r="107" spans="1:8" ht="21.95" customHeight="1">
      <c r="A107" s="44"/>
      <c r="B107" s="41" t="s">
        <v>43</v>
      </c>
      <c r="C107" s="18" t="s">
        <v>59</v>
      </c>
      <c r="D107" s="22">
        <v>1</v>
      </c>
      <c r="E107" s="21">
        <v>0</v>
      </c>
      <c r="F107" s="21">
        <v>0</v>
      </c>
      <c r="G107" s="21">
        <f>E107-F107</f>
        <v>0</v>
      </c>
      <c r="H107" s="35" t="s">
        <v>158</v>
      </c>
    </row>
    <row r="108" spans="1:8" ht="21.95" customHeight="1">
      <c r="A108" s="44"/>
      <c r="B108" s="47"/>
      <c r="C108" s="7" t="s">
        <v>60</v>
      </c>
      <c r="D108" s="22">
        <v>1</v>
      </c>
      <c r="E108" s="21">
        <v>1</v>
      </c>
      <c r="F108" s="21">
        <v>1</v>
      </c>
      <c r="G108" s="21">
        <f>E108-F108</f>
        <v>0</v>
      </c>
      <c r="H108" s="35">
        <f t="shared" si="5"/>
        <v>100</v>
      </c>
    </row>
    <row r="109" spans="1:8" ht="21.95" customHeight="1">
      <c r="A109" s="44"/>
      <c r="B109" s="39" t="s">
        <v>27</v>
      </c>
      <c r="C109" s="39"/>
      <c r="D109" s="8">
        <f>SUM(D110:D119)</f>
        <v>15</v>
      </c>
      <c r="E109" s="26">
        <f>SUM(E110:E119)</f>
        <v>131</v>
      </c>
      <c r="F109" s="26">
        <f>SUM(F110:F119)</f>
        <v>82</v>
      </c>
      <c r="G109" s="26">
        <f>SUM(G110:G119)</f>
        <v>49</v>
      </c>
      <c r="H109" s="34">
        <f t="shared" si="5"/>
        <v>62.595419847328252</v>
      </c>
    </row>
    <row r="110" spans="1:8" ht="21.95" customHeight="1">
      <c r="A110" s="44"/>
      <c r="B110" s="40" t="s">
        <v>44</v>
      </c>
      <c r="C110" s="18" t="s">
        <v>61</v>
      </c>
      <c r="D110" s="22">
        <v>2</v>
      </c>
      <c r="E110" s="21">
        <v>19</v>
      </c>
      <c r="F110" s="21">
        <v>12</v>
      </c>
      <c r="G110" s="21">
        <f>E110-F110</f>
        <v>7</v>
      </c>
      <c r="H110" s="35">
        <f t="shared" si="5"/>
        <v>63.157894736842103</v>
      </c>
    </row>
    <row r="111" spans="1:8" ht="21.95" customHeight="1">
      <c r="A111" s="44"/>
      <c r="B111" s="40"/>
      <c r="C111" s="18" t="s">
        <v>62</v>
      </c>
      <c r="D111" s="22">
        <v>1</v>
      </c>
      <c r="E111" s="21">
        <v>27</v>
      </c>
      <c r="F111" s="21">
        <v>13</v>
      </c>
      <c r="G111" s="21">
        <f t="shared" ref="G111:G119" si="8">E111-F111</f>
        <v>14</v>
      </c>
      <c r="H111" s="35">
        <f t="shared" si="5"/>
        <v>48.148148148148145</v>
      </c>
    </row>
    <row r="112" spans="1:8" ht="21.95" customHeight="1">
      <c r="A112" s="44"/>
      <c r="B112" s="40"/>
      <c r="C112" s="18" t="s">
        <v>63</v>
      </c>
      <c r="D112" s="22">
        <v>1</v>
      </c>
      <c r="E112" s="21">
        <v>10</v>
      </c>
      <c r="F112" s="21">
        <v>5</v>
      </c>
      <c r="G112" s="21">
        <f t="shared" si="8"/>
        <v>5</v>
      </c>
      <c r="H112" s="35">
        <f t="shared" si="5"/>
        <v>50</v>
      </c>
    </row>
    <row r="113" spans="1:8" ht="21.95" customHeight="1">
      <c r="A113" s="44"/>
      <c r="B113" s="40"/>
      <c r="C113" s="18" t="s">
        <v>64</v>
      </c>
      <c r="D113" s="22">
        <v>2</v>
      </c>
      <c r="E113" s="21">
        <v>8</v>
      </c>
      <c r="F113" s="21">
        <v>6</v>
      </c>
      <c r="G113" s="21">
        <f t="shared" si="8"/>
        <v>2</v>
      </c>
      <c r="H113" s="35">
        <f t="shared" si="5"/>
        <v>75</v>
      </c>
    </row>
    <row r="114" spans="1:8" ht="21.95" customHeight="1">
      <c r="A114" s="44"/>
      <c r="B114" s="40"/>
      <c r="C114" s="18" t="s">
        <v>65</v>
      </c>
      <c r="D114" s="22">
        <v>1</v>
      </c>
      <c r="E114" s="21">
        <v>13</v>
      </c>
      <c r="F114" s="21">
        <v>4</v>
      </c>
      <c r="G114" s="21">
        <f t="shared" si="8"/>
        <v>9</v>
      </c>
      <c r="H114" s="35">
        <f t="shared" si="5"/>
        <v>30.76923076923077</v>
      </c>
    </row>
    <row r="115" spans="1:8" ht="21.95" customHeight="1">
      <c r="A115" s="44"/>
      <c r="B115" s="40"/>
      <c r="C115" s="18" t="s">
        <v>66</v>
      </c>
      <c r="D115" s="22">
        <v>1</v>
      </c>
      <c r="E115" s="21">
        <v>2</v>
      </c>
      <c r="F115" s="21">
        <v>1</v>
      </c>
      <c r="G115" s="21">
        <f t="shared" si="8"/>
        <v>1</v>
      </c>
      <c r="H115" s="35">
        <f t="shared" si="5"/>
        <v>50</v>
      </c>
    </row>
    <row r="116" spans="1:8" ht="21.95" customHeight="1">
      <c r="A116" s="44"/>
      <c r="B116" s="40"/>
      <c r="C116" s="18" t="s">
        <v>67</v>
      </c>
      <c r="D116" s="22">
        <v>3</v>
      </c>
      <c r="E116" s="21">
        <v>30</v>
      </c>
      <c r="F116" s="21">
        <v>23</v>
      </c>
      <c r="G116" s="21">
        <f t="shared" si="8"/>
        <v>7</v>
      </c>
      <c r="H116" s="35">
        <f t="shared" si="5"/>
        <v>76.666666666666671</v>
      </c>
    </row>
    <row r="117" spans="1:8" ht="21.95" customHeight="1">
      <c r="A117" s="44"/>
      <c r="B117" s="40"/>
      <c r="C117" s="18" t="s">
        <v>68</v>
      </c>
      <c r="D117" s="22">
        <v>1</v>
      </c>
      <c r="E117" s="21">
        <v>3</v>
      </c>
      <c r="F117" s="21">
        <v>2</v>
      </c>
      <c r="G117" s="21">
        <f t="shared" si="8"/>
        <v>1</v>
      </c>
      <c r="H117" s="35">
        <f t="shared" si="5"/>
        <v>66.666666666666657</v>
      </c>
    </row>
    <row r="118" spans="1:8" ht="21.95" customHeight="1">
      <c r="A118" s="44"/>
      <c r="B118" s="40"/>
      <c r="C118" s="18" t="s">
        <v>69</v>
      </c>
      <c r="D118" s="22">
        <v>2</v>
      </c>
      <c r="E118" s="21">
        <v>11</v>
      </c>
      <c r="F118" s="21">
        <v>9</v>
      </c>
      <c r="G118" s="21">
        <f t="shared" si="8"/>
        <v>2</v>
      </c>
      <c r="H118" s="35">
        <f t="shared" si="5"/>
        <v>81.818181818181827</v>
      </c>
    </row>
    <row r="119" spans="1:8" ht="21.95" customHeight="1">
      <c r="A119" s="44"/>
      <c r="B119" s="40"/>
      <c r="C119" s="18" t="s">
        <v>70</v>
      </c>
      <c r="D119" s="22">
        <v>1</v>
      </c>
      <c r="E119" s="21">
        <v>8</v>
      </c>
      <c r="F119" s="21">
        <v>7</v>
      </c>
      <c r="G119" s="21">
        <f t="shared" si="8"/>
        <v>1</v>
      </c>
      <c r="H119" s="35">
        <f t="shared" si="5"/>
        <v>87.5</v>
      </c>
    </row>
    <row r="120" spans="1:8" ht="21.95" customHeight="1">
      <c r="A120" s="44"/>
      <c r="B120" s="39" t="s">
        <v>27</v>
      </c>
      <c r="C120" s="39"/>
      <c r="D120" s="8">
        <f>SUM(D121:D121)</f>
        <v>1</v>
      </c>
      <c r="E120" s="26">
        <f>SUM(E121:E121)</f>
        <v>2</v>
      </c>
      <c r="F120" s="26">
        <f>SUM(F121:F121)</f>
        <v>2</v>
      </c>
      <c r="G120" s="26">
        <f>SUM(G121:G121)</f>
        <v>0</v>
      </c>
      <c r="H120" s="34">
        <f t="shared" si="5"/>
        <v>100</v>
      </c>
    </row>
    <row r="121" spans="1:8" ht="21.95" customHeight="1">
      <c r="A121" s="44"/>
      <c r="B121" s="19" t="s">
        <v>71</v>
      </c>
      <c r="C121" s="18" t="s">
        <v>72</v>
      </c>
      <c r="D121" s="22">
        <v>1</v>
      </c>
      <c r="E121" s="21">
        <v>2</v>
      </c>
      <c r="F121" s="21">
        <v>2</v>
      </c>
      <c r="G121" s="21">
        <f>E121-F121</f>
        <v>0</v>
      </c>
      <c r="H121" s="35">
        <f t="shared" si="5"/>
        <v>100</v>
      </c>
    </row>
    <row r="122" spans="1:8" ht="21.95" customHeight="1">
      <c r="A122" s="44"/>
      <c r="B122" s="39" t="s">
        <v>27</v>
      </c>
      <c r="C122" s="39"/>
      <c r="D122" s="8">
        <f>SUM(D123:D124)</f>
        <v>2</v>
      </c>
      <c r="E122" s="26">
        <f>SUM(E123:E124)</f>
        <v>18</v>
      </c>
      <c r="F122" s="26">
        <f>SUM(F123:F124)</f>
        <v>12</v>
      </c>
      <c r="G122" s="26">
        <f>SUM(G123:G124)</f>
        <v>6</v>
      </c>
      <c r="H122" s="34">
        <f t="shared" si="5"/>
        <v>66.666666666666657</v>
      </c>
    </row>
    <row r="123" spans="1:8" ht="21.95" customHeight="1">
      <c r="A123" s="44"/>
      <c r="B123" s="41" t="s">
        <v>92</v>
      </c>
      <c r="C123" s="7" t="s">
        <v>73</v>
      </c>
      <c r="D123" s="22">
        <v>1</v>
      </c>
      <c r="E123" s="21">
        <v>9</v>
      </c>
      <c r="F123" s="21">
        <v>6</v>
      </c>
      <c r="G123" s="21">
        <f>E123-F123</f>
        <v>3</v>
      </c>
      <c r="H123" s="35">
        <f t="shared" si="5"/>
        <v>66.666666666666657</v>
      </c>
    </row>
    <row r="124" spans="1:8" ht="21.95" customHeight="1">
      <c r="A124" s="44"/>
      <c r="B124" s="42"/>
      <c r="C124" s="7" t="s">
        <v>74</v>
      </c>
      <c r="D124" s="22">
        <v>1</v>
      </c>
      <c r="E124" s="21">
        <v>9</v>
      </c>
      <c r="F124" s="21">
        <v>6</v>
      </c>
      <c r="G124" s="21">
        <f>E124-F124</f>
        <v>3</v>
      </c>
      <c r="H124" s="35">
        <f t="shared" si="5"/>
        <v>66.666666666666657</v>
      </c>
    </row>
    <row r="125" spans="1:8" ht="21.95" customHeight="1">
      <c r="A125" s="44"/>
      <c r="B125" s="39" t="s">
        <v>27</v>
      </c>
      <c r="C125" s="39"/>
      <c r="D125" s="8">
        <f>SUM(D126:D137)</f>
        <v>50</v>
      </c>
      <c r="E125" s="26">
        <f>SUM(E126:E137)</f>
        <v>514</v>
      </c>
      <c r="F125" s="26">
        <f>SUM(F126:F137)</f>
        <v>385</v>
      </c>
      <c r="G125" s="26">
        <f>SUM(G126:G137)</f>
        <v>129</v>
      </c>
      <c r="H125" s="34">
        <f t="shared" si="5"/>
        <v>74.902723735408557</v>
      </c>
    </row>
    <row r="126" spans="1:8" ht="21.95" customHeight="1">
      <c r="A126" s="44"/>
      <c r="B126" s="40" t="s">
        <v>45</v>
      </c>
      <c r="C126" s="18" t="s">
        <v>1</v>
      </c>
      <c r="D126" s="22">
        <v>6</v>
      </c>
      <c r="E126" s="21">
        <v>96</v>
      </c>
      <c r="F126" s="21">
        <v>78</v>
      </c>
      <c r="G126" s="21">
        <f>E126-F126</f>
        <v>18</v>
      </c>
      <c r="H126" s="35">
        <f t="shared" si="5"/>
        <v>81.25</v>
      </c>
    </row>
    <row r="127" spans="1:8" ht="21.95" customHeight="1">
      <c r="A127" s="44"/>
      <c r="B127" s="40"/>
      <c r="C127" s="18" t="s">
        <v>10</v>
      </c>
      <c r="D127" s="22">
        <v>5</v>
      </c>
      <c r="E127" s="21">
        <v>48</v>
      </c>
      <c r="F127" s="21">
        <v>31</v>
      </c>
      <c r="G127" s="21">
        <f t="shared" ref="G127:G137" si="9">E127-F127</f>
        <v>17</v>
      </c>
      <c r="H127" s="35">
        <f t="shared" si="5"/>
        <v>64.583333333333343</v>
      </c>
    </row>
    <row r="128" spans="1:8" ht="21.95" customHeight="1">
      <c r="A128" s="44"/>
      <c r="B128" s="40"/>
      <c r="C128" s="18" t="s">
        <v>11</v>
      </c>
      <c r="D128" s="22">
        <v>2</v>
      </c>
      <c r="E128" s="21">
        <v>32</v>
      </c>
      <c r="F128" s="21">
        <v>17</v>
      </c>
      <c r="G128" s="21">
        <f t="shared" si="9"/>
        <v>15</v>
      </c>
      <c r="H128" s="35">
        <f t="shared" si="5"/>
        <v>53.125</v>
      </c>
    </row>
    <row r="129" spans="1:8" ht="21.95" customHeight="1">
      <c r="A129" s="44"/>
      <c r="B129" s="40"/>
      <c r="C129" s="18" t="s">
        <v>2</v>
      </c>
      <c r="D129" s="22">
        <v>10</v>
      </c>
      <c r="E129" s="21">
        <v>110</v>
      </c>
      <c r="F129" s="21">
        <v>87</v>
      </c>
      <c r="G129" s="21">
        <f t="shared" si="9"/>
        <v>23</v>
      </c>
      <c r="H129" s="35">
        <f t="shared" si="5"/>
        <v>79.090909090909093</v>
      </c>
    </row>
    <row r="130" spans="1:8" ht="21.95" customHeight="1">
      <c r="A130" s="44"/>
      <c r="B130" s="40"/>
      <c r="C130" s="18" t="s">
        <v>12</v>
      </c>
      <c r="D130" s="22">
        <v>3</v>
      </c>
      <c r="E130" s="21">
        <v>27</v>
      </c>
      <c r="F130" s="21">
        <v>20</v>
      </c>
      <c r="G130" s="21">
        <f t="shared" si="9"/>
        <v>7</v>
      </c>
      <c r="H130" s="35">
        <f t="shared" si="5"/>
        <v>74.074074074074076</v>
      </c>
    </row>
    <row r="131" spans="1:8" ht="21.95" customHeight="1">
      <c r="A131" s="44"/>
      <c r="B131" s="40"/>
      <c r="C131" s="18" t="s">
        <v>3</v>
      </c>
      <c r="D131" s="22">
        <v>11</v>
      </c>
      <c r="E131" s="21">
        <v>89</v>
      </c>
      <c r="F131" s="21">
        <v>66</v>
      </c>
      <c r="G131" s="21">
        <f t="shared" si="9"/>
        <v>23</v>
      </c>
      <c r="H131" s="35">
        <f t="shared" si="5"/>
        <v>74.157303370786522</v>
      </c>
    </row>
    <row r="132" spans="1:8" ht="21.95" customHeight="1">
      <c r="A132" s="44"/>
      <c r="B132" s="40"/>
      <c r="C132" s="18" t="s">
        <v>14</v>
      </c>
      <c r="D132" s="22">
        <v>1</v>
      </c>
      <c r="E132" s="21">
        <v>18</v>
      </c>
      <c r="F132" s="21">
        <v>16</v>
      </c>
      <c r="G132" s="21">
        <f t="shared" si="9"/>
        <v>2</v>
      </c>
      <c r="H132" s="35">
        <f t="shared" si="5"/>
        <v>88.888888888888886</v>
      </c>
    </row>
    <row r="133" spans="1:8" ht="21.95" customHeight="1">
      <c r="A133" s="44"/>
      <c r="B133" s="40"/>
      <c r="C133" s="18" t="s">
        <v>4</v>
      </c>
      <c r="D133" s="22">
        <v>2</v>
      </c>
      <c r="E133" s="21">
        <v>16</v>
      </c>
      <c r="F133" s="21">
        <v>9</v>
      </c>
      <c r="G133" s="21">
        <f t="shared" si="9"/>
        <v>7</v>
      </c>
      <c r="H133" s="35">
        <f t="shared" si="5"/>
        <v>56.25</v>
      </c>
    </row>
    <row r="134" spans="1:8" ht="21.95" customHeight="1">
      <c r="A134" s="44"/>
      <c r="B134" s="40"/>
      <c r="C134" s="18" t="s">
        <v>15</v>
      </c>
      <c r="D134" s="22">
        <v>3</v>
      </c>
      <c r="E134" s="21">
        <v>9</v>
      </c>
      <c r="F134" s="21">
        <v>7</v>
      </c>
      <c r="G134" s="21">
        <f t="shared" si="9"/>
        <v>2</v>
      </c>
      <c r="H134" s="35">
        <f t="shared" ref="H134:H197" si="10">F134/E134*100</f>
        <v>77.777777777777786</v>
      </c>
    </row>
    <row r="135" spans="1:8" ht="21.95" customHeight="1">
      <c r="A135" s="44"/>
      <c r="B135" s="40"/>
      <c r="C135" s="18" t="s">
        <v>16</v>
      </c>
      <c r="D135" s="22">
        <v>2</v>
      </c>
      <c r="E135" s="21">
        <v>31</v>
      </c>
      <c r="F135" s="21">
        <v>20</v>
      </c>
      <c r="G135" s="21">
        <f t="shared" si="9"/>
        <v>11</v>
      </c>
      <c r="H135" s="35">
        <f t="shared" si="10"/>
        <v>64.516129032258064</v>
      </c>
    </row>
    <row r="136" spans="1:8" ht="21.95" customHeight="1">
      <c r="A136" s="44"/>
      <c r="B136" s="40"/>
      <c r="C136" s="18" t="s">
        <v>7</v>
      </c>
      <c r="D136" s="22">
        <v>2</v>
      </c>
      <c r="E136" s="21">
        <v>21</v>
      </c>
      <c r="F136" s="21">
        <v>19</v>
      </c>
      <c r="G136" s="21">
        <f t="shared" si="9"/>
        <v>2</v>
      </c>
      <c r="H136" s="35">
        <f t="shared" si="10"/>
        <v>90.476190476190482</v>
      </c>
    </row>
    <row r="137" spans="1:8" ht="21.95" customHeight="1">
      <c r="A137" s="44"/>
      <c r="B137" s="40"/>
      <c r="C137" s="18" t="s">
        <v>8</v>
      </c>
      <c r="D137" s="22">
        <v>3</v>
      </c>
      <c r="E137" s="21">
        <v>17</v>
      </c>
      <c r="F137" s="21">
        <v>15</v>
      </c>
      <c r="G137" s="21">
        <f t="shared" si="9"/>
        <v>2</v>
      </c>
      <c r="H137" s="35">
        <f t="shared" si="10"/>
        <v>88.235294117647058</v>
      </c>
    </row>
    <row r="138" spans="1:8" ht="21.95" customHeight="1">
      <c r="A138" s="44"/>
      <c r="B138" s="39" t="s">
        <v>27</v>
      </c>
      <c r="C138" s="39"/>
      <c r="D138" s="8">
        <f>SUM(D139:D147)</f>
        <v>17</v>
      </c>
      <c r="E138" s="26">
        <f>SUM(E139:E147)</f>
        <v>24</v>
      </c>
      <c r="F138" s="26">
        <f>SUM(F139:F147)</f>
        <v>18</v>
      </c>
      <c r="G138" s="26">
        <f>SUM(G139:G147)</f>
        <v>6</v>
      </c>
      <c r="H138" s="34">
        <f t="shared" si="10"/>
        <v>75</v>
      </c>
    </row>
    <row r="139" spans="1:8" ht="21.95" customHeight="1">
      <c r="A139" s="44"/>
      <c r="B139" s="40" t="s">
        <v>46</v>
      </c>
      <c r="C139" s="18" t="s">
        <v>1</v>
      </c>
      <c r="D139" s="22">
        <v>1</v>
      </c>
      <c r="E139" s="21">
        <v>6</v>
      </c>
      <c r="F139" s="21">
        <v>6</v>
      </c>
      <c r="G139" s="21">
        <f>E139-F139</f>
        <v>0</v>
      </c>
      <c r="H139" s="35">
        <f t="shared" si="10"/>
        <v>100</v>
      </c>
    </row>
    <row r="140" spans="1:8" ht="21.95" customHeight="1">
      <c r="A140" s="44"/>
      <c r="B140" s="40"/>
      <c r="C140" s="18" t="s">
        <v>10</v>
      </c>
      <c r="D140" s="22">
        <v>2</v>
      </c>
      <c r="E140" s="21">
        <v>4</v>
      </c>
      <c r="F140" s="21">
        <v>3</v>
      </c>
      <c r="G140" s="21">
        <f t="shared" ref="G140:G147" si="11">E140-F140</f>
        <v>1</v>
      </c>
      <c r="H140" s="35">
        <f t="shared" si="10"/>
        <v>75</v>
      </c>
    </row>
    <row r="141" spans="1:8" ht="21.95" customHeight="1">
      <c r="A141" s="44"/>
      <c r="B141" s="40"/>
      <c r="C141" s="18" t="s">
        <v>12</v>
      </c>
      <c r="D141" s="22">
        <v>1</v>
      </c>
      <c r="E141" s="21">
        <v>6</v>
      </c>
      <c r="F141" s="21">
        <v>4</v>
      </c>
      <c r="G141" s="21">
        <f t="shared" si="11"/>
        <v>2</v>
      </c>
      <c r="H141" s="35">
        <f t="shared" si="10"/>
        <v>66.666666666666657</v>
      </c>
    </row>
    <row r="142" spans="1:8" ht="21.95" customHeight="1">
      <c r="A142" s="44"/>
      <c r="B142" s="40"/>
      <c r="C142" s="18" t="s">
        <v>14</v>
      </c>
      <c r="D142" s="22">
        <v>1</v>
      </c>
      <c r="E142" s="21">
        <v>1</v>
      </c>
      <c r="F142" s="21">
        <v>1</v>
      </c>
      <c r="G142" s="21">
        <f t="shared" si="11"/>
        <v>0</v>
      </c>
      <c r="H142" s="35">
        <f t="shared" si="10"/>
        <v>100</v>
      </c>
    </row>
    <row r="143" spans="1:8" ht="21.95" customHeight="1">
      <c r="A143" s="44"/>
      <c r="B143" s="40"/>
      <c r="C143" s="18" t="s">
        <v>4</v>
      </c>
      <c r="D143" s="22">
        <v>6</v>
      </c>
      <c r="E143" s="21">
        <v>2</v>
      </c>
      <c r="F143" s="21">
        <v>0</v>
      </c>
      <c r="G143" s="21">
        <f t="shared" si="11"/>
        <v>2</v>
      </c>
      <c r="H143" s="35">
        <f t="shared" si="10"/>
        <v>0</v>
      </c>
    </row>
    <row r="144" spans="1:8" ht="21.95" customHeight="1">
      <c r="A144" s="44"/>
      <c r="B144" s="40"/>
      <c r="C144" s="18" t="s">
        <v>5</v>
      </c>
      <c r="D144" s="22">
        <v>1</v>
      </c>
      <c r="E144" s="21">
        <v>3</v>
      </c>
      <c r="F144" s="21">
        <v>2</v>
      </c>
      <c r="G144" s="21">
        <f t="shared" si="11"/>
        <v>1</v>
      </c>
      <c r="H144" s="35">
        <f t="shared" si="10"/>
        <v>66.666666666666657</v>
      </c>
    </row>
    <row r="145" spans="1:8" ht="21.95" customHeight="1">
      <c r="A145" s="44"/>
      <c r="B145" s="40"/>
      <c r="C145" s="18" t="s">
        <v>15</v>
      </c>
      <c r="D145" s="22">
        <v>2</v>
      </c>
      <c r="E145" s="21">
        <v>1</v>
      </c>
      <c r="F145" s="21">
        <v>1</v>
      </c>
      <c r="G145" s="21">
        <f t="shared" si="11"/>
        <v>0</v>
      </c>
      <c r="H145" s="35">
        <f t="shared" si="10"/>
        <v>100</v>
      </c>
    </row>
    <row r="146" spans="1:8" ht="21.95" customHeight="1">
      <c r="A146" s="44"/>
      <c r="B146" s="40"/>
      <c r="C146" s="18" t="s">
        <v>16</v>
      </c>
      <c r="D146" s="22">
        <v>2</v>
      </c>
      <c r="E146" s="21">
        <v>0</v>
      </c>
      <c r="F146" s="21">
        <v>0</v>
      </c>
      <c r="G146" s="21">
        <f t="shared" si="11"/>
        <v>0</v>
      </c>
      <c r="H146" s="35" t="s">
        <v>158</v>
      </c>
    </row>
    <row r="147" spans="1:8" ht="21.95" customHeight="1">
      <c r="A147" s="44"/>
      <c r="B147" s="40"/>
      <c r="C147" s="18" t="s">
        <v>7</v>
      </c>
      <c r="D147" s="22">
        <v>1</v>
      </c>
      <c r="E147" s="21">
        <v>1</v>
      </c>
      <c r="F147" s="21">
        <v>1</v>
      </c>
      <c r="G147" s="21">
        <f t="shared" si="11"/>
        <v>0</v>
      </c>
      <c r="H147" s="35">
        <f t="shared" si="10"/>
        <v>100</v>
      </c>
    </row>
    <row r="148" spans="1:8" ht="21.95" customHeight="1">
      <c r="A148" s="44"/>
      <c r="B148" s="39" t="s">
        <v>27</v>
      </c>
      <c r="C148" s="39"/>
      <c r="D148" s="8">
        <f>SUM(D149:D152)</f>
        <v>4</v>
      </c>
      <c r="E148" s="26">
        <f>SUM(E149:E152)</f>
        <v>9</v>
      </c>
      <c r="F148" s="26">
        <f>SUM(F149:F152)</f>
        <v>6</v>
      </c>
      <c r="G148" s="26">
        <f>SUM(G149:G152)</f>
        <v>3</v>
      </c>
      <c r="H148" s="34">
        <f t="shared" si="10"/>
        <v>66.666666666666657</v>
      </c>
    </row>
    <row r="149" spans="1:8" ht="21.95" customHeight="1">
      <c r="A149" s="44"/>
      <c r="B149" s="40" t="s">
        <v>47</v>
      </c>
      <c r="C149" s="7" t="s">
        <v>1</v>
      </c>
      <c r="D149" s="22">
        <v>1</v>
      </c>
      <c r="E149" s="21">
        <v>5</v>
      </c>
      <c r="F149" s="21">
        <v>4</v>
      </c>
      <c r="G149" s="21">
        <f>E149-F149</f>
        <v>1</v>
      </c>
      <c r="H149" s="35">
        <f t="shared" si="10"/>
        <v>80</v>
      </c>
    </row>
    <row r="150" spans="1:8" ht="21.95" customHeight="1">
      <c r="A150" s="44"/>
      <c r="B150" s="40"/>
      <c r="C150" s="18" t="s">
        <v>75</v>
      </c>
      <c r="D150" s="22">
        <v>1</v>
      </c>
      <c r="E150" s="21">
        <v>0</v>
      </c>
      <c r="F150" s="21">
        <v>0</v>
      </c>
      <c r="G150" s="21">
        <f t="shared" ref="G150:G152" si="12">E150-F150</f>
        <v>0</v>
      </c>
      <c r="H150" s="35" t="s">
        <v>159</v>
      </c>
    </row>
    <row r="151" spans="1:8" ht="21.95" customHeight="1">
      <c r="A151" s="44"/>
      <c r="B151" s="40"/>
      <c r="C151" s="18" t="s">
        <v>59</v>
      </c>
      <c r="D151" s="22">
        <v>1</v>
      </c>
      <c r="E151" s="21">
        <v>1</v>
      </c>
      <c r="F151" s="21">
        <v>1</v>
      </c>
      <c r="G151" s="21">
        <f t="shared" si="12"/>
        <v>0</v>
      </c>
      <c r="H151" s="35">
        <f t="shared" si="10"/>
        <v>100</v>
      </c>
    </row>
    <row r="152" spans="1:8" ht="21.95" customHeight="1">
      <c r="A152" s="44"/>
      <c r="B152" s="40"/>
      <c r="C152" s="7" t="s">
        <v>58</v>
      </c>
      <c r="D152" s="22">
        <v>1</v>
      </c>
      <c r="E152" s="21">
        <v>3</v>
      </c>
      <c r="F152" s="21">
        <v>1</v>
      </c>
      <c r="G152" s="21">
        <f t="shared" si="12"/>
        <v>2</v>
      </c>
      <c r="H152" s="35">
        <f t="shared" si="10"/>
        <v>33.333333333333329</v>
      </c>
    </row>
    <row r="153" spans="1:8" ht="21.95" customHeight="1">
      <c r="A153" s="44"/>
      <c r="B153" s="39" t="s">
        <v>27</v>
      </c>
      <c r="C153" s="39"/>
      <c r="D153" s="8">
        <f>SUM(D154:D160)</f>
        <v>21</v>
      </c>
      <c r="E153" s="26">
        <f>SUM(E154:E160)</f>
        <v>121</v>
      </c>
      <c r="F153" s="26">
        <f>SUM(F154:F160)</f>
        <v>96</v>
      </c>
      <c r="G153" s="26">
        <f>SUM(G154:G160)</f>
        <v>25</v>
      </c>
      <c r="H153" s="34">
        <f t="shared" si="10"/>
        <v>79.338842975206617</v>
      </c>
    </row>
    <row r="154" spans="1:8" ht="21.95" customHeight="1">
      <c r="A154" s="44"/>
      <c r="B154" s="40" t="s">
        <v>93</v>
      </c>
      <c r="C154" s="18" t="s">
        <v>76</v>
      </c>
      <c r="D154" s="22">
        <v>8</v>
      </c>
      <c r="E154" s="21">
        <v>46</v>
      </c>
      <c r="F154" s="21">
        <v>34</v>
      </c>
      <c r="G154" s="21">
        <f>E154-F154</f>
        <v>12</v>
      </c>
      <c r="H154" s="35">
        <f t="shared" si="10"/>
        <v>73.91304347826086</v>
      </c>
    </row>
    <row r="155" spans="1:8" ht="21.95" customHeight="1">
      <c r="A155" s="44"/>
      <c r="B155" s="40"/>
      <c r="C155" s="18" t="s">
        <v>77</v>
      </c>
      <c r="D155" s="22">
        <v>1</v>
      </c>
      <c r="E155" s="21">
        <v>5</v>
      </c>
      <c r="F155" s="21">
        <v>5</v>
      </c>
      <c r="G155" s="21">
        <f t="shared" ref="G155:G160" si="13">E155-F155</f>
        <v>0</v>
      </c>
      <c r="H155" s="35">
        <f t="shared" si="10"/>
        <v>100</v>
      </c>
    </row>
    <row r="156" spans="1:8" ht="21.95" customHeight="1">
      <c r="A156" s="44"/>
      <c r="B156" s="40"/>
      <c r="C156" s="18" t="s">
        <v>78</v>
      </c>
      <c r="D156" s="22">
        <v>6</v>
      </c>
      <c r="E156" s="21">
        <v>36</v>
      </c>
      <c r="F156" s="21">
        <v>34</v>
      </c>
      <c r="G156" s="21">
        <f t="shared" si="13"/>
        <v>2</v>
      </c>
      <c r="H156" s="35">
        <f t="shared" si="10"/>
        <v>94.444444444444443</v>
      </c>
    </row>
    <row r="157" spans="1:8" ht="21.95" customHeight="1">
      <c r="A157" s="44"/>
      <c r="B157" s="40"/>
      <c r="C157" s="18" t="s">
        <v>79</v>
      </c>
      <c r="D157" s="22">
        <v>3</v>
      </c>
      <c r="E157" s="21">
        <v>12</v>
      </c>
      <c r="F157" s="21">
        <v>7</v>
      </c>
      <c r="G157" s="21">
        <f t="shared" si="13"/>
        <v>5</v>
      </c>
      <c r="H157" s="35">
        <f t="shared" si="10"/>
        <v>58.333333333333336</v>
      </c>
    </row>
    <row r="158" spans="1:8" ht="21.95" customHeight="1">
      <c r="A158" s="44"/>
      <c r="B158" s="40"/>
      <c r="C158" s="18" t="s">
        <v>80</v>
      </c>
      <c r="D158" s="22">
        <v>1</v>
      </c>
      <c r="E158" s="21">
        <v>9</v>
      </c>
      <c r="F158" s="21">
        <v>6</v>
      </c>
      <c r="G158" s="21">
        <f t="shared" si="13"/>
        <v>3</v>
      </c>
      <c r="H158" s="35">
        <f t="shared" si="10"/>
        <v>66.666666666666657</v>
      </c>
    </row>
    <row r="159" spans="1:8" ht="21.95" customHeight="1">
      <c r="A159" s="44"/>
      <c r="B159" s="40"/>
      <c r="C159" s="18" t="s">
        <v>81</v>
      </c>
      <c r="D159" s="22">
        <v>1</v>
      </c>
      <c r="E159" s="21">
        <v>7</v>
      </c>
      <c r="F159" s="21">
        <v>5</v>
      </c>
      <c r="G159" s="21">
        <f t="shared" si="13"/>
        <v>2</v>
      </c>
      <c r="H159" s="35">
        <f t="shared" si="10"/>
        <v>71.428571428571431</v>
      </c>
    </row>
    <row r="160" spans="1:8" ht="21.95" customHeight="1">
      <c r="A160" s="44"/>
      <c r="B160" s="40"/>
      <c r="C160" s="18" t="s">
        <v>82</v>
      </c>
      <c r="D160" s="22">
        <v>1</v>
      </c>
      <c r="E160" s="21">
        <v>6</v>
      </c>
      <c r="F160" s="21">
        <v>5</v>
      </c>
      <c r="G160" s="21">
        <f t="shared" si="13"/>
        <v>1</v>
      </c>
      <c r="H160" s="35">
        <f t="shared" si="10"/>
        <v>83.333333333333343</v>
      </c>
    </row>
    <row r="161" spans="1:8" ht="21.95" customHeight="1">
      <c r="A161" s="44"/>
      <c r="B161" s="39" t="s">
        <v>27</v>
      </c>
      <c r="C161" s="39"/>
      <c r="D161" s="8">
        <f>SUM(D162:D169)</f>
        <v>18</v>
      </c>
      <c r="E161" s="26">
        <f>SUM(E162:E169)</f>
        <v>65</v>
      </c>
      <c r="F161" s="26">
        <f>SUM(F162:F169)</f>
        <v>52</v>
      </c>
      <c r="G161" s="26">
        <f>SUM(G162:G169)</f>
        <v>13</v>
      </c>
      <c r="H161" s="34">
        <f t="shared" si="10"/>
        <v>80</v>
      </c>
    </row>
    <row r="162" spans="1:8" ht="21.95" customHeight="1">
      <c r="A162" s="44"/>
      <c r="B162" s="41" t="s">
        <v>148</v>
      </c>
      <c r="C162" s="18" t="s">
        <v>83</v>
      </c>
      <c r="D162" s="22">
        <v>3</v>
      </c>
      <c r="E162" s="21">
        <v>17</v>
      </c>
      <c r="F162" s="21">
        <v>13</v>
      </c>
      <c r="G162" s="21">
        <f>E162-F162</f>
        <v>4</v>
      </c>
      <c r="H162" s="35">
        <f t="shared" si="10"/>
        <v>76.470588235294116</v>
      </c>
    </row>
    <row r="163" spans="1:8" ht="21.95" customHeight="1">
      <c r="A163" s="44"/>
      <c r="B163" s="42"/>
      <c r="C163" s="18" t="s">
        <v>84</v>
      </c>
      <c r="D163" s="22">
        <v>5</v>
      </c>
      <c r="E163" s="21">
        <v>23</v>
      </c>
      <c r="F163" s="21">
        <v>20</v>
      </c>
      <c r="G163" s="21">
        <f t="shared" ref="G163:G169" si="14">E163-F163</f>
        <v>3</v>
      </c>
      <c r="H163" s="35">
        <f t="shared" si="10"/>
        <v>86.956521739130437</v>
      </c>
    </row>
    <row r="164" spans="1:8" ht="21.95" customHeight="1">
      <c r="A164" s="44"/>
      <c r="B164" s="42"/>
      <c r="C164" s="18" t="s">
        <v>85</v>
      </c>
      <c r="D164" s="22">
        <v>3</v>
      </c>
      <c r="E164" s="21">
        <v>6</v>
      </c>
      <c r="F164" s="21">
        <v>5</v>
      </c>
      <c r="G164" s="21">
        <f t="shared" si="14"/>
        <v>1</v>
      </c>
      <c r="H164" s="35">
        <f t="shared" si="10"/>
        <v>83.333333333333343</v>
      </c>
    </row>
    <row r="165" spans="1:8" ht="21.95" customHeight="1">
      <c r="A165" s="44"/>
      <c r="B165" s="42"/>
      <c r="C165" s="18" t="s">
        <v>86</v>
      </c>
      <c r="D165" s="22">
        <v>1</v>
      </c>
      <c r="E165" s="21">
        <v>6</v>
      </c>
      <c r="F165" s="21">
        <v>5</v>
      </c>
      <c r="G165" s="21">
        <f t="shared" si="14"/>
        <v>1</v>
      </c>
      <c r="H165" s="35">
        <f t="shared" si="10"/>
        <v>83.333333333333343</v>
      </c>
    </row>
    <row r="166" spans="1:8" ht="21.95" customHeight="1">
      <c r="A166" s="44"/>
      <c r="B166" s="42"/>
      <c r="C166" s="18" t="s">
        <v>74</v>
      </c>
      <c r="D166" s="22">
        <v>1</v>
      </c>
      <c r="E166" s="21">
        <v>1</v>
      </c>
      <c r="F166" s="21">
        <v>0</v>
      </c>
      <c r="G166" s="21">
        <f t="shared" si="14"/>
        <v>1</v>
      </c>
      <c r="H166" s="35">
        <f t="shared" si="10"/>
        <v>0</v>
      </c>
    </row>
    <row r="167" spans="1:8" ht="21.95" customHeight="1">
      <c r="A167" s="44"/>
      <c r="B167" s="42"/>
      <c r="C167" s="18" t="s">
        <v>68</v>
      </c>
      <c r="D167" s="22">
        <v>1</v>
      </c>
      <c r="E167" s="21">
        <v>2</v>
      </c>
      <c r="F167" s="21">
        <v>2</v>
      </c>
      <c r="G167" s="21">
        <f t="shared" si="14"/>
        <v>0</v>
      </c>
      <c r="H167" s="35">
        <f t="shared" si="10"/>
        <v>100</v>
      </c>
    </row>
    <row r="168" spans="1:8" ht="21.95" customHeight="1">
      <c r="A168" s="44"/>
      <c r="B168" s="42"/>
      <c r="C168" s="18" t="s">
        <v>87</v>
      </c>
      <c r="D168" s="22">
        <v>2</v>
      </c>
      <c r="E168" s="21">
        <v>7</v>
      </c>
      <c r="F168" s="21">
        <v>6</v>
      </c>
      <c r="G168" s="21">
        <f t="shared" si="14"/>
        <v>1</v>
      </c>
      <c r="H168" s="35">
        <f t="shared" si="10"/>
        <v>85.714285714285708</v>
      </c>
    </row>
    <row r="169" spans="1:8" ht="21.95" customHeight="1">
      <c r="A169" s="44"/>
      <c r="B169" s="42"/>
      <c r="C169" s="18" t="s">
        <v>88</v>
      </c>
      <c r="D169" s="22">
        <v>2</v>
      </c>
      <c r="E169" s="21">
        <v>3</v>
      </c>
      <c r="F169" s="21">
        <v>1</v>
      </c>
      <c r="G169" s="21">
        <f t="shared" si="14"/>
        <v>2</v>
      </c>
      <c r="H169" s="35">
        <f t="shared" si="10"/>
        <v>33.333333333333329</v>
      </c>
    </row>
    <row r="170" spans="1:8" ht="21.95" customHeight="1">
      <c r="A170" s="44"/>
      <c r="B170" s="39" t="s">
        <v>27</v>
      </c>
      <c r="C170" s="39"/>
      <c r="D170" s="8">
        <f>SUM(D171)</f>
        <v>1</v>
      </c>
      <c r="E170" s="26">
        <f>SUM(E171)</f>
        <v>0</v>
      </c>
      <c r="F170" s="26">
        <f>SUM(F171)</f>
        <v>0</v>
      </c>
      <c r="G170" s="26">
        <f>SUM(G171)</f>
        <v>0</v>
      </c>
      <c r="H170" s="34" t="s">
        <v>160</v>
      </c>
    </row>
    <row r="171" spans="1:8" ht="21.95" customHeight="1">
      <c r="A171" s="44"/>
      <c r="B171" s="20" t="s">
        <v>149</v>
      </c>
      <c r="C171" s="18" t="s">
        <v>72</v>
      </c>
      <c r="D171" s="22">
        <v>1</v>
      </c>
      <c r="E171" s="21">
        <v>0</v>
      </c>
      <c r="F171" s="21">
        <v>0</v>
      </c>
      <c r="G171" s="21">
        <f>E171-F171</f>
        <v>0</v>
      </c>
      <c r="H171" s="35" t="s">
        <v>158</v>
      </c>
    </row>
    <row r="172" spans="1:8" ht="21.95" customHeight="1">
      <c r="A172" s="44"/>
      <c r="B172" s="39" t="s">
        <v>27</v>
      </c>
      <c r="C172" s="39"/>
      <c r="D172" s="8">
        <f>SUM(D173:D174)</f>
        <v>3</v>
      </c>
      <c r="E172" s="26">
        <f>SUM(E173:E174)</f>
        <v>10</v>
      </c>
      <c r="F172" s="26">
        <f>SUM(F173:F174)</f>
        <v>7</v>
      </c>
      <c r="G172" s="26">
        <f>SUM(G173:G174)</f>
        <v>3</v>
      </c>
      <c r="H172" s="34">
        <f t="shared" si="10"/>
        <v>70</v>
      </c>
    </row>
    <row r="173" spans="1:8" ht="21.95" customHeight="1">
      <c r="A173" s="44"/>
      <c r="B173" s="41" t="s">
        <v>89</v>
      </c>
      <c r="C173" s="18" t="s">
        <v>90</v>
      </c>
      <c r="D173" s="22">
        <v>1</v>
      </c>
      <c r="E173" s="21">
        <v>6</v>
      </c>
      <c r="F173" s="21">
        <v>4</v>
      </c>
      <c r="G173" s="21">
        <f>E173-F173</f>
        <v>2</v>
      </c>
      <c r="H173" s="35">
        <f t="shared" si="10"/>
        <v>66.666666666666657</v>
      </c>
    </row>
    <row r="174" spans="1:8" ht="21.95" customHeight="1">
      <c r="A174" s="44"/>
      <c r="B174" s="47"/>
      <c r="C174" s="7" t="s">
        <v>91</v>
      </c>
      <c r="D174" s="22">
        <v>2</v>
      </c>
      <c r="E174" s="21">
        <v>4</v>
      </c>
      <c r="F174" s="21">
        <v>3</v>
      </c>
      <c r="G174" s="21">
        <f>E174-F174</f>
        <v>1</v>
      </c>
      <c r="H174" s="35">
        <f t="shared" si="10"/>
        <v>75</v>
      </c>
    </row>
    <row r="175" spans="1:8" ht="21.95" customHeight="1">
      <c r="A175" s="44"/>
      <c r="B175" s="39" t="s">
        <v>27</v>
      </c>
      <c r="C175" s="39"/>
      <c r="D175" s="8">
        <f>SUM(D176:D185)</f>
        <v>16</v>
      </c>
      <c r="E175" s="26">
        <f>SUM(E176:E185)</f>
        <v>54</v>
      </c>
      <c r="F175" s="26">
        <f>SUM(F176:F185)</f>
        <v>39</v>
      </c>
      <c r="G175" s="26">
        <f>SUM(G176:G185)</f>
        <v>15</v>
      </c>
      <c r="H175" s="34">
        <f t="shared" si="10"/>
        <v>72.222222222222214</v>
      </c>
    </row>
    <row r="176" spans="1:8" ht="21.95" customHeight="1">
      <c r="A176" s="44"/>
      <c r="B176" s="40" t="s">
        <v>48</v>
      </c>
      <c r="C176" s="18" t="s">
        <v>83</v>
      </c>
      <c r="D176" s="22">
        <v>2</v>
      </c>
      <c r="E176" s="21">
        <v>8</v>
      </c>
      <c r="F176" s="21">
        <v>7</v>
      </c>
      <c r="G176" s="21">
        <f>E176-F176</f>
        <v>1</v>
      </c>
      <c r="H176" s="35">
        <f t="shared" si="10"/>
        <v>87.5</v>
      </c>
    </row>
    <row r="177" spans="1:8" ht="21.95" customHeight="1">
      <c r="A177" s="44"/>
      <c r="B177" s="40"/>
      <c r="C177" s="18" t="s">
        <v>94</v>
      </c>
      <c r="D177" s="22">
        <v>2</v>
      </c>
      <c r="E177" s="21">
        <v>12</v>
      </c>
      <c r="F177" s="21">
        <v>7</v>
      </c>
      <c r="G177" s="21">
        <f t="shared" ref="G177:G185" si="15">E177-F177</f>
        <v>5</v>
      </c>
      <c r="H177" s="35">
        <f t="shared" si="10"/>
        <v>58.333333333333336</v>
      </c>
    </row>
    <row r="178" spans="1:8" ht="21.95" customHeight="1">
      <c r="A178" s="44"/>
      <c r="B178" s="40"/>
      <c r="C178" s="18" t="s">
        <v>75</v>
      </c>
      <c r="D178" s="22">
        <v>1</v>
      </c>
      <c r="E178" s="21">
        <v>2</v>
      </c>
      <c r="F178" s="21">
        <v>2</v>
      </c>
      <c r="G178" s="21">
        <f t="shared" si="15"/>
        <v>0</v>
      </c>
      <c r="H178" s="35">
        <f t="shared" si="10"/>
        <v>100</v>
      </c>
    </row>
    <row r="179" spans="1:8" ht="21.95" customHeight="1">
      <c r="A179" s="44"/>
      <c r="B179" s="40"/>
      <c r="C179" s="18" t="s">
        <v>85</v>
      </c>
      <c r="D179" s="22">
        <v>3</v>
      </c>
      <c r="E179" s="21">
        <v>5</v>
      </c>
      <c r="F179" s="21">
        <v>5</v>
      </c>
      <c r="G179" s="21">
        <f t="shared" si="15"/>
        <v>0</v>
      </c>
      <c r="H179" s="35">
        <f t="shared" si="10"/>
        <v>100</v>
      </c>
    </row>
    <row r="180" spans="1:8" ht="21.95" customHeight="1">
      <c r="A180" s="44"/>
      <c r="B180" s="40"/>
      <c r="C180" s="18" t="s">
        <v>86</v>
      </c>
      <c r="D180" s="22">
        <v>1</v>
      </c>
      <c r="E180" s="21">
        <v>5</v>
      </c>
      <c r="F180" s="21">
        <v>2</v>
      </c>
      <c r="G180" s="21">
        <f t="shared" si="15"/>
        <v>3</v>
      </c>
      <c r="H180" s="35">
        <f t="shared" si="10"/>
        <v>40</v>
      </c>
    </row>
    <row r="181" spans="1:8" ht="21.95" customHeight="1">
      <c r="A181" s="44"/>
      <c r="B181" s="40"/>
      <c r="C181" s="18" t="s">
        <v>59</v>
      </c>
      <c r="D181" s="22">
        <v>2</v>
      </c>
      <c r="E181" s="21">
        <v>2</v>
      </c>
      <c r="F181" s="21">
        <v>1</v>
      </c>
      <c r="G181" s="21">
        <f t="shared" si="15"/>
        <v>1</v>
      </c>
      <c r="H181" s="35">
        <f t="shared" si="10"/>
        <v>50</v>
      </c>
    </row>
    <row r="182" spans="1:8" ht="21.95" customHeight="1">
      <c r="A182" s="44"/>
      <c r="B182" s="40"/>
      <c r="C182" s="18" t="s">
        <v>79</v>
      </c>
      <c r="D182" s="22">
        <v>1</v>
      </c>
      <c r="E182" s="21">
        <v>0</v>
      </c>
      <c r="F182" s="21">
        <v>0</v>
      </c>
      <c r="G182" s="21">
        <f t="shared" si="15"/>
        <v>0</v>
      </c>
      <c r="H182" s="35" t="s">
        <v>160</v>
      </c>
    </row>
    <row r="183" spans="1:8" ht="21.95" customHeight="1">
      <c r="A183" s="44"/>
      <c r="B183" s="40"/>
      <c r="C183" s="18" t="s">
        <v>91</v>
      </c>
      <c r="D183" s="22">
        <v>1</v>
      </c>
      <c r="E183" s="21">
        <v>4</v>
      </c>
      <c r="F183" s="21">
        <v>4</v>
      </c>
      <c r="G183" s="21">
        <f t="shared" si="15"/>
        <v>0</v>
      </c>
      <c r="H183" s="35">
        <f t="shared" si="10"/>
        <v>100</v>
      </c>
    </row>
    <row r="184" spans="1:8" ht="21.95" customHeight="1">
      <c r="A184" s="44"/>
      <c r="B184" s="40"/>
      <c r="C184" s="18" t="s">
        <v>95</v>
      </c>
      <c r="D184" s="22">
        <v>1</v>
      </c>
      <c r="E184" s="21">
        <v>9</v>
      </c>
      <c r="F184" s="21">
        <v>6</v>
      </c>
      <c r="G184" s="21">
        <f t="shared" si="15"/>
        <v>3</v>
      </c>
      <c r="H184" s="35">
        <f t="shared" si="10"/>
        <v>66.666666666666657</v>
      </c>
    </row>
    <row r="185" spans="1:8" ht="21.95" customHeight="1">
      <c r="A185" s="44"/>
      <c r="B185" s="40"/>
      <c r="C185" s="18" t="s">
        <v>88</v>
      </c>
      <c r="D185" s="22">
        <v>2</v>
      </c>
      <c r="E185" s="21">
        <v>7</v>
      </c>
      <c r="F185" s="21">
        <v>5</v>
      </c>
      <c r="G185" s="21">
        <f t="shared" si="15"/>
        <v>2</v>
      </c>
      <c r="H185" s="35">
        <f t="shared" si="10"/>
        <v>71.428571428571431</v>
      </c>
    </row>
    <row r="186" spans="1:8" ht="21.95" customHeight="1">
      <c r="A186" s="44"/>
      <c r="B186" s="39" t="s">
        <v>27</v>
      </c>
      <c r="C186" s="39"/>
      <c r="D186" s="8">
        <f>SUM(D187:D190)</f>
        <v>4</v>
      </c>
      <c r="E186" s="26">
        <f>SUM(E187:E190)</f>
        <v>27</v>
      </c>
      <c r="F186" s="26">
        <f>SUM(F187:F190)</f>
        <v>21</v>
      </c>
      <c r="G186" s="26">
        <f>SUM(G187:G190)</f>
        <v>6</v>
      </c>
      <c r="H186" s="34">
        <f t="shared" si="10"/>
        <v>77.777777777777786</v>
      </c>
    </row>
    <row r="187" spans="1:8" ht="21.95" customHeight="1">
      <c r="A187" s="44"/>
      <c r="B187" s="40" t="s">
        <v>49</v>
      </c>
      <c r="C187" s="7" t="s">
        <v>1</v>
      </c>
      <c r="D187" s="22">
        <v>1</v>
      </c>
      <c r="E187" s="21">
        <v>17</v>
      </c>
      <c r="F187" s="21">
        <v>12</v>
      </c>
      <c r="G187" s="21">
        <f>E187-F187</f>
        <v>5</v>
      </c>
      <c r="H187" s="35">
        <f t="shared" si="10"/>
        <v>70.588235294117652</v>
      </c>
    </row>
    <row r="188" spans="1:8" ht="21.95" customHeight="1">
      <c r="A188" s="44"/>
      <c r="B188" s="40"/>
      <c r="C188" s="7" t="s">
        <v>74</v>
      </c>
      <c r="D188" s="22">
        <v>1</v>
      </c>
      <c r="E188" s="21">
        <v>1</v>
      </c>
      <c r="F188" s="21">
        <v>1</v>
      </c>
      <c r="G188" s="21">
        <f t="shared" ref="G188:G190" si="16">E188-F188</f>
        <v>0</v>
      </c>
      <c r="H188" s="35">
        <f t="shared" si="10"/>
        <v>100</v>
      </c>
    </row>
    <row r="189" spans="1:8" ht="21.95" customHeight="1">
      <c r="A189" s="44"/>
      <c r="B189" s="40"/>
      <c r="C189" s="7" t="s">
        <v>91</v>
      </c>
      <c r="D189" s="22">
        <v>1</v>
      </c>
      <c r="E189" s="21">
        <v>5</v>
      </c>
      <c r="F189" s="21">
        <v>4</v>
      </c>
      <c r="G189" s="21">
        <f t="shared" si="16"/>
        <v>1</v>
      </c>
      <c r="H189" s="35">
        <f t="shared" si="10"/>
        <v>80</v>
      </c>
    </row>
    <row r="190" spans="1:8" ht="21.95" customHeight="1">
      <c r="A190" s="44"/>
      <c r="B190" s="40"/>
      <c r="C190" s="7" t="s">
        <v>95</v>
      </c>
      <c r="D190" s="22">
        <v>1</v>
      </c>
      <c r="E190" s="21">
        <v>4</v>
      </c>
      <c r="F190" s="21">
        <v>4</v>
      </c>
      <c r="G190" s="21">
        <f t="shared" si="16"/>
        <v>0</v>
      </c>
      <c r="H190" s="35">
        <f t="shared" si="10"/>
        <v>100</v>
      </c>
    </row>
    <row r="191" spans="1:8" ht="21.95" customHeight="1">
      <c r="A191" s="44"/>
      <c r="B191" s="39" t="s">
        <v>27</v>
      </c>
      <c r="C191" s="39"/>
      <c r="D191" s="8">
        <f>SUM(D192:D203)</f>
        <v>38</v>
      </c>
      <c r="E191" s="26">
        <f>SUM(E192:E203)</f>
        <v>198</v>
      </c>
      <c r="F191" s="26">
        <f>SUM(F192:F203)</f>
        <v>152</v>
      </c>
      <c r="G191" s="26">
        <f>SUM(G192:G203)</f>
        <v>46</v>
      </c>
      <c r="H191" s="34">
        <f t="shared" si="10"/>
        <v>76.767676767676761</v>
      </c>
    </row>
    <row r="192" spans="1:8" ht="21.95" customHeight="1">
      <c r="A192" s="44"/>
      <c r="B192" s="40" t="s">
        <v>50</v>
      </c>
      <c r="C192" s="18" t="s">
        <v>9</v>
      </c>
      <c r="D192" s="23">
        <v>2</v>
      </c>
      <c r="E192" s="21">
        <v>13</v>
      </c>
      <c r="F192" s="21">
        <v>10</v>
      </c>
      <c r="G192" s="21">
        <f>E192-F192</f>
        <v>3</v>
      </c>
      <c r="H192" s="35">
        <f t="shared" si="10"/>
        <v>76.923076923076934</v>
      </c>
    </row>
    <row r="193" spans="1:8" ht="21.95" customHeight="1">
      <c r="A193" s="44"/>
      <c r="B193" s="40"/>
      <c r="C193" s="18" t="s">
        <v>1</v>
      </c>
      <c r="D193" s="23">
        <v>3</v>
      </c>
      <c r="E193" s="21">
        <v>27</v>
      </c>
      <c r="F193" s="21">
        <v>19</v>
      </c>
      <c r="G193" s="21">
        <f t="shared" ref="G193:G203" si="17">E193-F193</f>
        <v>8</v>
      </c>
      <c r="H193" s="35">
        <f t="shared" si="10"/>
        <v>70.370370370370367</v>
      </c>
    </row>
    <row r="194" spans="1:8" ht="21.95" customHeight="1">
      <c r="A194" s="44"/>
      <c r="B194" s="40"/>
      <c r="C194" s="18" t="s">
        <v>10</v>
      </c>
      <c r="D194" s="23">
        <v>5</v>
      </c>
      <c r="E194" s="21">
        <v>31</v>
      </c>
      <c r="F194" s="21">
        <v>25</v>
      </c>
      <c r="G194" s="21">
        <f t="shared" si="17"/>
        <v>6</v>
      </c>
      <c r="H194" s="35">
        <f t="shared" si="10"/>
        <v>80.645161290322577</v>
      </c>
    </row>
    <row r="195" spans="1:8" ht="21.95" customHeight="1">
      <c r="A195" s="44"/>
      <c r="B195" s="40"/>
      <c r="C195" s="18" t="s">
        <v>11</v>
      </c>
      <c r="D195" s="23">
        <v>3</v>
      </c>
      <c r="E195" s="21">
        <v>7</v>
      </c>
      <c r="F195" s="21">
        <v>7</v>
      </c>
      <c r="G195" s="21">
        <f t="shared" si="17"/>
        <v>0</v>
      </c>
      <c r="H195" s="35">
        <f t="shared" si="10"/>
        <v>100</v>
      </c>
    </row>
    <row r="196" spans="1:8" ht="21.95" customHeight="1">
      <c r="A196" s="44"/>
      <c r="B196" s="40"/>
      <c r="C196" s="18" t="s">
        <v>2</v>
      </c>
      <c r="D196" s="23">
        <v>3</v>
      </c>
      <c r="E196" s="21">
        <v>22</v>
      </c>
      <c r="F196" s="21">
        <v>19</v>
      </c>
      <c r="G196" s="21">
        <f t="shared" si="17"/>
        <v>3</v>
      </c>
      <c r="H196" s="35">
        <f t="shared" si="10"/>
        <v>86.36363636363636</v>
      </c>
    </row>
    <row r="197" spans="1:8" ht="21.95" customHeight="1">
      <c r="A197" s="44"/>
      <c r="B197" s="40"/>
      <c r="C197" s="18" t="s">
        <v>12</v>
      </c>
      <c r="D197" s="23">
        <v>2</v>
      </c>
      <c r="E197" s="21">
        <v>7</v>
      </c>
      <c r="F197" s="21">
        <v>6</v>
      </c>
      <c r="G197" s="21">
        <f t="shared" si="17"/>
        <v>1</v>
      </c>
      <c r="H197" s="35">
        <f t="shared" si="10"/>
        <v>85.714285714285708</v>
      </c>
    </row>
    <row r="198" spans="1:8" ht="21.95" customHeight="1">
      <c r="A198" s="44"/>
      <c r="B198" s="40"/>
      <c r="C198" s="18" t="s">
        <v>3</v>
      </c>
      <c r="D198" s="23">
        <v>6</v>
      </c>
      <c r="E198" s="21">
        <v>18</v>
      </c>
      <c r="F198" s="21">
        <v>13</v>
      </c>
      <c r="G198" s="21">
        <f t="shared" si="17"/>
        <v>5</v>
      </c>
      <c r="H198" s="35">
        <f t="shared" ref="H198:H261" si="18">F198/E198*100</f>
        <v>72.222222222222214</v>
      </c>
    </row>
    <row r="199" spans="1:8" ht="21.95" customHeight="1">
      <c r="A199" s="44"/>
      <c r="B199" s="40"/>
      <c r="C199" s="18" t="s">
        <v>4</v>
      </c>
      <c r="D199" s="23">
        <v>2</v>
      </c>
      <c r="E199" s="21">
        <v>9</v>
      </c>
      <c r="F199" s="21">
        <v>5</v>
      </c>
      <c r="G199" s="21">
        <f t="shared" si="17"/>
        <v>4</v>
      </c>
      <c r="H199" s="35">
        <f t="shared" si="18"/>
        <v>55.555555555555557</v>
      </c>
    </row>
    <row r="200" spans="1:8" ht="21.95" customHeight="1">
      <c r="A200" s="44"/>
      <c r="B200" s="40"/>
      <c r="C200" s="18" t="s">
        <v>5</v>
      </c>
      <c r="D200" s="23">
        <v>2</v>
      </c>
      <c r="E200" s="21">
        <v>15</v>
      </c>
      <c r="F200" s="21">
        <v>11</v>
      </c>
      <c r="G200" s="21">
        <f t="shared" si="17"/>
        <v>4</v>
      </c>
      <c r="H200" s="35">
        <f t="shared" si="18"/>
        <v>73.333333333333329</v>
      </c>
    </row>
    <row r="201" spans="1:8" ht="21.95" customHeight="1">
      <c r="A201" s="44"/>
      <c r="B201" s="40"/>
      <c r="C201" s="18" t="s">
        <v>16</v>
      </c>
      <c r="D201" s="23">
        <v>4</v>
      </c>
      <c r="E201" s="21">
        <v>24</v>
      </c>
      <c r="F201" s="21">
        <v>17</v>
      </c>
      <c r="G201" s="21">
        <f t="shared" si="17"/>
        <v>7</v>
      </c>
      <c r="H201" s="35">
        <f t="shared" si="18"/>
        <v>70.833333333333343</v>
      </c>
    </row>
    <row r="202" spans="1:8" ht="21.95" customHeight="1">
      <c r="A202" s="44"/>
      <c r="B202" s="40"/>
      <c r="C202" s="18" t="s">
        <v>7</v>
      </c>
      <c r="D202" s="23">
        <v>2</v>
      </c>
      <c r="E202" s="21">
        <v>11</v>
      </c>
      <c r="F202" s="21">
        <v>7</v>
      </c>
      <c r="G202" s="21">
        <f t="shared" si="17"/>
        <v>4</v>
      </c>
      <c r="H202" s="35">
        <f t="shared" si="18"/>
        <v>63.636363636363633</v>
      </c>
    </row>
    <row r="203" spans="1:8" ht="21.95" customHeight="1">
      <c r="A203" s="44"/>
      <c r="B203" s="40"/>
      <c r="C203" s="18" t="s">
        <v>8</v>
      </c>
      <c r="D203" s="23">
        <v>4</v>
      </c>
      <c r="E203" s="21">
        <v>14</v>
      </c>
      <c r="F203" s="21">
        <v>13</v>
      </c>
      <c r="G203" s="21">
        <f t="shared" si="17"/>
        <v>1</v>
      </c>
      <c r="H203" s="35">
        <f t="shared" si="18"/>
        <v>92.857142857142861</v>
      </c>
    </row>
    <row r="204" spans="1:8" ht="21.95" customHeight="1">
      <c r="A204" s="44"/>
      <c r="B204" s="39" t="s">
        <v>27</v>
      </c>
      <c r="C204" s="39"/>
      <c r="D204" s="8">
        <f>SUM(D205)</f>
        <v>1</v>
      </c>
      <c r="E204" s="26">
        <f>SUM(E205)</f>
        <v>0</v>
      </c>
      <c r="F204" s="26">
        <f>SUM(F205)</f>
        <v>0</v>
      </c>
      <c r="G204" s="26">
        <f>SUM(G205)</f>
        <v>0</v>
      </c>
      <c r="H204" s="34" t="s">
        <v>158</v>
      </c>
    </row>
    <row r="205" spans="1:8" ht="21.95" customHeight="1">
      <c r="A205" s="44"/>
      <c r="B205" s="20" t="s">
        <v>96</v>
      </c>
      <c r="C205" s="18" t="s">
        <v>72</v>
      </c>
      <c r="D205" s="22">
        <v>1</v>
      </c>
      <c r="E205" s="21">
        <v>0</v>
      </c>
      <c r="F205" s="21">
        <v>0</v>
      </c>
      <c r="G205" s="21">
        <f>E205-F205</f>
        <v>0</v>
      </c>
      <c r="H205" s="35" t="s">
        <v>158</v>
      </c>
    </row>
    <row r="206" spans="1:8" ht="21.95" customHeight="1">
      <c r="A206" s="44"/>
      <c r="B206" s="39" t="s">
        <v>27</v>
      </c>
      <c r="C206" s="39"/>
      <c r="D206" s="8">
        <f>SUM(D207:D215)</f>
        <v>20</v>
      </c>
      <c r="E206" s="26">
        <f>SUM(E207:E215)</f>
        <v>66</v>
      </c>
      <c r="F206" s="26">
        <f>SUM(F207:F215)</f>
        <v>49</v>
      </c>
      <c r="G206" s="26">
        <f>SUM(G207:G215)</f>
        <v>17</v>
      </c>
      <c r="H206" s="34">
        <f t="shared" si="18"/>
        <v>74.242424242424249</v>
      </c>
    </row>
    <row r="207" spans="1:8" ht="21.95" customHeight="1">
      <c r="A207" s="44"/>
      <c r="B207" s="40" t="s">
        <v>97</v>
      </c>
      <c r="C207" s="18" t="s">
        <v>9</v>
      </c>
      <c r="D207" s="22">
        <v>3</v>
      </c>
      <c r="E207" s="21">
        <v>9</v>
      </c>
      <c r="F207" s="21">
        <v>8</v>
      </c>
      <c r="G207" s="21">
        <f>E207-F207</f>
        <v>1</v>
      </c>
      <c r="H207" s="35">
        <f t="shared" si="18"/>
        <v>88.888888888888886</v>
      </c>
    </row>
    <row r="208" spans="1:8" ht="21.95" customHeight="1">
      <c r="A208" s="44"/>
      <c r="B208" s="40"/>
      <c r="C208" s="18" t="s">
        <v>11</v>
      </c>
      <c r="D208" s="22">
        <v>2</v>
      </c>
      <c r="E208" s="21">
        <v>7</v>
      </c>
      <c r="F208" s="21">
        <v>6</v>
      </c>
      <c r="G208" s="21">
        <f t="shared" ref="G208:G215" si="19">E208-F208</f>
        <v>1</v>
      </c>
      <c r="H208" s="35">
        <f t="shared" si="18"/>
        <v>85.714285714285708</v>
      </c>
    </row>
    <row r="209" spans="1:8" ht="21.95" customHeight="1">
      <c r="A209" s="44"/>
      <c r="B209" s="40"/>
      <c r="C209" s="18" t="s">
        <v>2</v>
      </c>
      <c r="D209" s="22">
        <v>2</v>
      </c>
      <c r="E209" s="21">
        <v>14</v>
      </c>
      <c r="F209" s="21">
        <v>9</v>
      </c>
      <c r="G209" s="21">
        <f t="shared" si="19"/>
        <v>5</v>
      </c>
      <c r="H209" s="35">
        <f t="shared" si="18"/>
        <v>64.285714285714292</v>
      </c>
    </row>
    <row r="210" spans="1:8" ht="21.95" customHeight="1">
      <c r="A210" s="44"/>
      <c r="B210" s="40"/>
      <c r="C210" s="18" t="s">
        <v>12</v>
      </c>
      <c r="D210" s="22">
        <v>2</v>
      </c>
      <c r="E210" s="21">
        <v>9</v>
      </c>
      <c r="F210" s="21">
        <v>8</v>
      </c>
      <c r="G210" s="21">
        <f t="shared" si="19"/>
        <v>1</v>
      </c>
      <c r="H210" s="35">
        <f t="shared" si="18"/>
        <v>88.888888888888886</v>
      </c>
    </row>
    <row r="211" spans="1:8" ht="21.95" customHeight="1">
      <c r="A211" s="44"/>
      <c r="B211" s="40"/>
      <c r="C211" s="18" t="s">
        <v>3</v>
      </c>
      <c r="D211" s="22">
        <v>3</v>
      </c>
      <c r="E211" s="21">
        <v>3</v>
      </c>
      <c r="F211" s="21">
        <v>3</v>
      </c>
      <c r="G211" s="21">
        <f t="shared" si="19"/>
        <v>0</v>
      </c>
      <c r="H211" s="35">
        <f t="shared" si="18"/>
        <v>100</v>
      </c>
    </row>
    <row r="212" spans="1:8" ht="21.95" customHeight="1">
      <c r="A212" s="44"/>
      <c r="B212" s="40"/>
      <c r="C212" s="18" t="s">
        <v>4</v>
      </c>
      <c r="D212" s="22">
        <v>1</v>
      </c>
      <c r="E212" s="21">
        <v>4</v>
      </c>
      <c r="F212" s="21">
        <v>3</v>
      </c>
      <c r="G212" s="21">
        <f t="shared" si="19"/>
        <v>1</v>
      </c>
      <c r="H212" s="35">
        <f t="shared" si="18"/>
        <v>75</v>
      </c>
    </row>
    <row r="213" spans="1:8" ht="21.95" customHeight="1">
      <c r="A213" s="44"/>
      <c r="B213" s="40"/>
      <c r="C213" s="18" t="s">
        <v>15</v>
      </c>
      <c r="D213" s="22">
        <v>3</v>
      </c>
      <c r="E213" s="21">
        <v>6</v>
      </c>
      <c r="F213" s="21">
        <v>4</v>
      </c>
      <c r="G213" s="21">
        <f t="shared" si="19"/>
        <v>2</v>
      </c>
      <c r="H213" s="35">
        <f t="shared" si="18"/>
        <v>66.666666666666657</v>
      </c>
    </row>
    <row r="214" spans="1:8" ht="21.95" customHeight="1">
      <c r="A214" s="44"/>
      <c r="B214" s="40"/>
      <c r="C214" s="18" t="s">
        <v>16</v>
      </c>
      <c r="D214" s="22">
        <v>2</v>
      </c>
      <c r="E214" s="21">
        <v>5</v>
      </c>
      <c r="F214" s="21">
        <v>3</v>
      </c>
      <c r="G214" s="21">
        <f t="shared" si="19"/>
        <v>2</v>
      </c>
      <c r="H214" s="35">
        <f t="shared" si="18"/>
        <v>60</v>
      </c>
    </row>
    <row r="215" spans="1:8" ht="21.95" customHeight="1">
      <c r="A215" s="44"/>
      <c r="B215" s="40"/>
      <c r="C215" s="18" t="s">
        <v>7</v>
      </c>
      <c r="D215" s="22">
        <v>2</v>
      </c>
      <c r="E215" s="21">
        <v>9</v>
      </c>
      <c r="F215" s="21">
        <v>5</v>
      </c>
      <c r="G215" s="21">
        <f t="shared" si="19"/>
        <v>4</v>
      </c>
      <c r="H215" s="35">
        <f t="shared" si="18"/>
        <v>55.555555555555557</v>
      </c>
    </row>
    <row r="216" spans="1:8" ht="21.95" customHeight="1">
      <c r="A216" s="44"/>
      <c r="B216" s="39" t="s">
        <v>27</v>
      </c>
      <c r="C216" s="39"/>
      <c r="D216" s="8">
        <f>SUM(D217)</f>
        <v>1</v>
      </c>
      <c r="E216" s="26">
        <f>SUM(E217)</f>
        <v>0</v>
      </c>
      <c r="F216" s="26">
        <f>SUM(F217)</f>
        <v>0</v>
      </c>
      <c r="G216" s="26">
        <f>SUM(G217)</f>
        <v>0</v>
      </c>
      <c r="H216" s="34" t="s">
        <v>158</v>
      </c>
    </row>
    <row r="217" spans="1:8" ht="21.95" customHeight="1">
      <c r="A217" s="44"/>
      <c r="B217" s="20" t="s">
        <v>98</v>
      </c>
      <c r="C217" s="18" t="s">
        <v>72</v>
      </c>
      <c r="D217" s="22">
        <v>1</v>
      </c>
      <c r="E217" s="21">
        <v>0</v>
      </c>
      <c r="F217" s="21">
        <v>0</v>
      </c>
      <c r="G217" s="21">
        <f>E217-F217</f>
        <v>0</v>
      </c>
      <c r="H217" s="35" t="s">
        <v>159</v>
      </c>
    </row>
    <row r="218" spans="1:8" ht="21.95" customHeight="1">
      <c r="A218" s="44"/>
      <c r="B218" s="39" t="s">
        <v>27</v>
      </c>
      <c r="C218" s="39"/>
      <c r="D218" s="8">
        <f>SUM(D219:D229)</f>
        <v>21</v>
      </c>
      <c r="E218" s="26">
        <f>SUM(E219:E229)</f>
        <v>87</v>
      </c>
      <c r="F218" s="26">
        <f>SUM(F219:F229)</f>
        <v>74</v>
      </c>
      <c r="G218" s="26">
        <f>SUM(G219:G229)</f>
        <v>13</v>
      </c>
      <c r="H218" s="34">
        <f t="shared" si="18"/>
        <v>85.057471264367805</v>
      </c>
    </row>
    <row r="219" spans="1:8" ht="21.95" customHeight="1">
      <c r="A219" s="44"/>
      <c r="B219" s="41" t="s">
        <v>102</v>
      </c>
      <c r="C219" s="18" t="s">
        <v>99</v>
      </c>
      <c r="D219" s="22">
        <v>3</v>
      </c>
      <c r="E219" s="21">
        <v>19</v>
      </c>
      <c r="F219" s="21">
        <v>16</v>
      </c>
      <c r="G219" s="21">
        <f>E219-F219</f>
        <v>3</v>
      </c>
      <c r="H219" s="35">
        <f t="shared" si="18"/>
        <v>84.210526315789465</v>
      </c>
    </row>
    <row r="220" spans="1:8" ht="21.95" customHeight="1">
      <c r="A220" s="44"/>
      <c r="B220" s="42"/>
      <c r="C220" s="18" t="s">
        <v>100</v>
      </c>
      <c r="D220" s="22">
        <v>2</v>
      </c>
      <c r="E220" s="21">
        <v>16</v>
      </c>
      <c r="F220" s="21">
        <v>16</v>
      </c>
      <c r="G220" s="21">
        <f t="shared" ref="G220:G229" si="20">E220-F220</f>
        <v>0</v>
      </c>
      <c r="H220" s="35">
        <f t="shared" si="18"/>
        <v>100</v>
      </c>
    </row>
    <row r="221" spans="1:8" ht="21.95" customHeight="1">
      <c r="A221" s="44"/>
      <c r="B221" s="42"/>
      <c r="C221" s="18" t="s">
        <v>90</v>
      </c>
      <c r="D221" s="22">
        <v>3</v>
      </c>
      <c r="E221" s="21">
        <v>14</v>
      </c>
      <c r="F221" s="21">
        <v>12</v>
      </c>
      <c r="G221" s="21">
        <f t="shared" si="20"/>
        <v>2</v>
      </c>
      <c r="H221" s="35">
        <f t="shared" si="18"/>
        <v>85.714285714285708</v>
      </c>
    </row>
    <row r="222" spans="1:8" ht="21.95" customHeight="1">
      <c r="A222" s="44"/>
      <c r="B222" s="42"/>
      <c r="C222" s="18" t="s">
        <v>59</v>
      </c>
      <c r="D222" s="22">
        <v>1</v>
      </c>
      <c r="E222" s="21">
        <v>2</v>
      </c>
      <c r="F222" s="21">
        <v>1</v>
      </c>
      <c r="G222" s="21">
        <f t="shared" si="20"/>
        <v>1</v>
      </c>
      <c r="H222" s="35">
        <f t="shared" si="18"/>
        <v>50</v>
      </c>
    </row>
    <row r="223" spans="1:8" ht="21.95" customHeight="1">
      <c r="A223" s="44"/>
      <c r="B223" s="42"/>
      <c r="C223" s="18" t="s">
        <v>79</v>
      </c>
      <c r="D223" s="22">
        <v>3</v>
      </c>
      <c r="E223" s="21">
        <v>7</v>
      </c>
      <c r="F223" s="21">
        <v>4</v>
      </c>
      <c r="G223" s="21">
        <f t="shared" si="20"/>
        <v>3</v>
      </c>
      <c r="H223" s="35">
        <f t="shared" si="18"/>
        <v>57.142857142857139</v>
      </c>
    </row>
    <row r="224" spans="1:8" ht="21.95" customHeight="1">
      <c r="A224" s="44"/>
      <c r="B224" s="42"/>
      <c r="C224" s="18" t="s">
        <v>60</v>
      </c>
      <c r="D224" s="22">
        <v>1</v>
      </c>
      <c r="E224" s="21">
        <v>3</v>
      </c>
      <c r="F224" s="21">
        <v>3</v>
      </c>
      <c r="G224" s="21">
        <f t="shared" si="20"/>
        <v>0</v>
      </c>
      <c r="H224" s="35">
        <f t="shared" si="18"/>
        <v>100</v>
      </c>
    </row>
    <row r="225" spans="1:8" ht="21.95" customHeight="1">
      <c r="A225" s="44"/>
      <c r="B225" s="42"/>
      <c r="C225" s="18" t="s">
        <v>74</v>
      </c>
      <c r="D225" s="22">
        <v>1</v>
      </c>
      <c r="E225" s="21">
        <v>4</v>
      </c>
      <c r="F225" s="21">
        <v>3</v>
      </c>
      <c r="G225" s="21">
        <f t="shared" si="20"/>
        <v>1</v>
      </c>
      <c r="H225" s="35">
        <f t="shared" si="18"/>
        <v>75</v>
      </c>
    </row>
    <row r="226" spans="1:8" ht="21.95" customHeight="1">
      <c r="A226" s="44"/>
      <c r="B226" s="42"/>
      <c r="C226" s="18" t="s">
        <v>57</v>
      </c>
      <c r="D226" s="22">
        <v>2</v>
      </c>
      <c r="E226" s="21">
        <v>4</v>
      </c>
      <c r="F226" s="21">
        <v>4</v>
      </c>
      <c r="G226" s="21">
        <f t="shared" si="20"/>
        <v>0</v>
      </c>
      <c r="H226" s="35">
        <f t="shared" si="18"/>
        <v>100</v>
      </c>
    </row>
    <row r="227" spans="1:8" ht="21.95" customHeight="1">
      <c r="A227" s="44"/>
      <c r="B227" s="42"/>
      <c r="C227" s="18" t="s">
        <v>80</v>
      </c>
      <c r="D227" s="22">
        <v>2</v>
      </c>
      <c r="E227" s="21">
        <v>4</v>
      </c>
      <c r="F227" s="21">
        <v>2</v>
      </c>
      <c r="G227" s="21">
        <f t="shared" si="20"/>
        <v>2</v>
      </c>
      <c r="H227" s="35">
        <f t="shared" si="18"/>
        <v>50</v>
      </c>
    </row>
    <row r="228" spans="1:8" ht="21.95" customHeight="1">
      <c r="A228" s="44"/>
      <c r="B228" s="42"/>
      <c r="C228" s="18" t="s">
        <v>88</v>
      </c>
      <c r="D228" s="22">
        <v>2</v>
      </c>
      <c r="E228" s="21">
        <v>10</v>
      </c>
      <c r="F228" s="21">
        <v>10</v>
      </c>
      <c r="G228" s="21">
        <f t="shared" si="20"/>
        <v>0</v>
      </c>
      <c r="H228" s="35">
        <f t="shared" si="18"/>
        <v>100</v>
      </c>
    </row>
    <row r="229" spans="1:8" ht="21.95" customHeight="1">
      <c r="A229" s="44"/>
      <c r="B229" s="47"/>
      <c r="C229" s="18" t="s">
        <v>101</v>
      </c>
      <c r="D229" s="22">
        <v>1</v>
      </c>
      <c r="E229" s="21">
        <v>4</v>
      </c>
      <c r="F229" s="21">
        <v>3</v>
      </c>
      <c r="G229" s="21">
        <f t="shared" si="20"/>
        <v>1</v>
      </c>
      <c r="H229" s="35">
        <f t="shared" si="18"/>
        <v>75</v>
      </c>
    </row>
    <row r="230" spans="1:8" ht="21.95" customHeight="1">
      <c r="A230" s="44"/>
      <c r="B230" s="39" t="s">
        <v>27</v>
      </c>
      <c r="C230" s="39"/>
      <c r="D230" s="8">
        <f>SUM(D231)</f>
        <v>1</v>
      </c>
      <c r="E230" s="26">
        <f>SUM(E231)</f>
        <v>1</v>
      </c>
      <c r="F230" s="26">
        <f>SUM(F231)</f>
        <v>1</v>
      </c>
      <c r="G230" s="26">
        <f>SUM(G231)</f>
        <v>0</v>
      </c>
      <c r="H230" s="34">
        <f t="shared" si="18"/>
        <v>100</v>
      </c>
    </row>
    <row r="231" spans="1:8" ht="21.95" customHeight="1">
      <c r="A231" s="44"/>
      <c r="B231" s="20" t="s">
        <v>103</v>
      </c>
      <c r="C231" s="18" t="s">
        <v>72</v>
      </c>
      <c r="D231" s="22">
        <v>1</v>
      </c>
      <c r="E231" s="21">
        <v>1</v>
      </c>
      <c r="F231" s="21">
        <v>1</v>
      </c>
      <c r="G231" s="21">
        <f>E231-F231</f>
        <v>0</v>
      </c>
      <c r="H231" s="35">
        <f t="shared" si="18"/>
        <v>100</v>
      </c>
    </row>
    <row r="232" spans="1:8" ht="21.95" customHeight="1">
      <c r="A232" s="44"/>
      <c r="B232" s="39" t="s">
        <v>27</v>
      </c>
      <c r="C232" s="39"/>
      <c r="D232" s="8">
        <f>SUM(D233:D236)</f>
        <v>6</v>
      </c>
      <c r="E232" s="26">
        <f>SUM(E233:E236)</f>
        <v>41</v>
      </c>
      <c r="F232" s="26">
        <f>SUM(F233:F236)</f>
        <v>30</v>
      </c>
      <c r="G232" s="26">
        <f t="shared" ref="G232:G295" si="21">E232-F232</f>
        <v>11</v>
      </c>
      <c r="H232" s="34">
        <f t="shared" si="18"/>
        <v>73.170731707317074</v>
      </c>
    </row>
    <row r="233" spans="1:8" ht="21.95" customHeight="1">
      <c r="A233" s="44"/>
      <c r="B233" s="41" t="s">
        <v>51</v>
      </c>
      <c r="C233" s="18" t="s">
        <v>94</v>
      </c>
      <c r="D233" s="22">
        <v>1</v>
      </c>
      <c r="E233" s="21">
        <v>13</v>
      </c>
      <c r="F233" s="21">
        <v>8</v>
      </c>
      <c r="G233" s="21">
        <f t="shared" si="21"/>
        <v>5</v>
      </c>
      <c r="H233" s="35">
        <f t="shared" si="18"/>
        <v>61.53846153846154</v>
      </c>
    </row>
    <row r="234" spans="1:8" ht="21.95" customHeight="1">
      <c r="A234" s="44"/>
      <c r="B234" s="42"/>
      <c r="C234" s="18" t="s">
        <v>90</v>
      </c>
      <c r="D234" s="22">
        <v>2</v>
      </c>
      <c r="E234" s="21">
        <v>10</v>
      </c>
      <c r="F234" s="21">
        <v>8</v>
      </c>
      <c r="G234" s="21">
        <f t="shared" si="21"/>
        <v>2</v>
      </c>
      <c r="H234" s="35">
        <f t="shared" si="18"/>
        <v>80</v>
      </c>
    </row>
    <row r="235" spans="1:8" ht="21.95" customHeight="1">
      <c r="A235" s="44"/>
      <c r="B235" s="42"/>
      <c r="C235" s="18" t="s">
        <v>59</v>
      </c>
      <c r="D235" s="22">
        <v>1</v>
      </c>
      <c r="E235" s="21">
        <v>6</v>
      </c>
      <c r="F235" s="21">
        <v>4</v>
      </c>
      <c r="G235" s="21">
        <f t="shared" si="21"/>
        <v>2</v>
      </c>
      <c r="H235" s="35">
        <f t="shared" si="18"/>
        <v>66.666666666666657</v>
      </c>
    </row>
    <row r="236" spans="1:8" ht="21.95" customHeight="1">
      <c r="A236" s="44"/>
      <c r="B236" s="47"/>
      <c r="C236" s="18" t="s">
        <v>58</v>
      </c>
      <c r="D236" s="22">
        <v>2</v>
      </c>
      <c r="E236" s="21">
        <v>12</v>
      </c>
      <c r="F236" s="21">
        <v>10</v>
      </c>
      <c r="G236" s="21">
        <f t="shared" si="21"/>
        <v>2</v>
      </c>
      <c r="H236" s="35">
        <f t="shared" si="18"/>
        <v>83.333333333333343</v>
      </c>
    </row>
    <row r="237" spans="1:8" ht="21.95" customHeight="1">
      <c r="A237" s="44"/>
      <c r="B237" s="39" t="s">
        <v>27</v>
      </c>
      <c r="C237" s="39"/>
      <c r="D237" s="8">
        <f>SUM(D238:D241)</f>
        <v>5</v>
      </c>
      <c r="E237" s="26">
        <f>SUM(E238:E241)</f>
        <v>34</v>
      </c>
      <c r="F237" s="26">
        <f>SUM(F238:F241)</f>
        <v>29</v>
      </c>
      <c r="G237" s="26">
        <f t="shared" si="21"/>
        <v>5</v>
      </c>
      <c r="H237" s="34">
        <f t="shared" si="18"/>
        <v>85.294117647058826</v>
      </c>
    </row>
    <row r="238" spans="1:8" ht="21.95" customHeight="1">
      <c r="A238" s="44"/>
      <c r="B238" s="41" t="s">
        <v>105</v>
      </c>
      <c r="C238" s="18" t="s">
        <v>83</v>
      </c>
      <c r="D238" s="22">
        <v>1</v>
      </c>
      <c r="E238" s="21">
        <v>16</v>
      </c>
      <c r="F238" s="21">
        <v>13</v>
      </c>
      <c r="G238" s="21">
        <f t="shared" si="21"/>
        <v>3</v>
      </c>
      <c r="H238" s="35">
        <f t="shared" si="18"/>
        <v>81.25</v>
      </c>
    </row>
    <row r="239" spans="1:8" ht="21.95" customHeight="1">
      <c r="A239" s="44"/>
      <c r="B239" s="42"/>
      <c r="C239" s="18" t="s">
        <v>90</v>
      </c>
      <c r="D239" s="22">
        <v>1</v>
      </c>
      <c r="E239" s="21">
        <v>6</v>
      </c>
      <c r="F239" s="21">
        <v>4</v>
      </c>
      <c r="G239" s="21">
        <f t="shared" si="21"/>
        <v>2</v>
      </c>
      <c r="H239" s="35">
        <f t="shared" si="18"/>
        <v>66.666666666666657</v>
      </c>
    </row>
    <row r="240" spans="1:8" ht="21.95" customHeight="1">
      <c r="A240" s="44"/>
      <c r="B240" s="42"/>
      <c r="C240" s="18" t="s">
        <v>104</v>
      </c>
      <c r="D240" s="22">
        <v>1</v>
      </c>
      <c r="E240" s="21">
        <v>4</v>
      </c>
      <c r="F240" s="21">
        <v>4</v>
      </c>
      <c r="G240" s="21">
        <f t="shared" si="21"/>
        <v>0</v>
      </c>
      <c r="H240" s="35">
        <f t="shared" si="18"/>
        <v>100</v>
      </c>
    </row>
    <row r="241" spans="1:8" ht="21.95" customHeight="1">
      <c r="A241" s="44"/>
      <c r="B241" s="47"/>
      <c r="C241" s="18" t="s">
        <v>101</v>
      </c>
      <c r="D241" s="22">
        <v>2</v>
      </c>
      <c r="E241" s="21">
        <v>8</v>
      </c>
      <c r="F241" s="21">
        <v>8</v>
      </c>
      <c r="G241" s="21">
        <f t="shared" si="21"/>
        <v>0</v>
      </c>
      <c r="H241" s="35">
        <f t="shared" si="18"/>
        <v>100</v>
      </c>
    </row>
    <row r="242" spans="1:8" ht="21.95" customHeight="1">
      <c r="A242" s="44"/>
      <c r="B242" s="39" t="s">
        <v>27</v>
      </c>
      <c r="C242" s="39"/>
      <c r="D242" s="8">
        <f>SUM(D243)</f>
        <v>1</v>
      </c>
      <c r="E242" s="26">
        <f>SUM(E243)</f>
        <v>0</v>
      </c>
      <c r="F242" s="26">
        <f>SUM(F243)</f>
        <v>0</v>
      </c>
      <c r="G242" s="26">
        <f t="shared" si="21"/>
        <v>0</v>
      </c>
      <c r="H242" s="34" t="s">
        <v>158</v>
      </c>
    </row>
    <row r="243" spans="1:8" ht="21.95" customHeight="1">
      <c r="A243" s="44"/>
      <c r="B243" s="20" t="s">
        <v>106</v>
      </c>
      <c r="C243" s="18" t="s">
        <v>72</v>
      </c>
      <c r="D243" s="22">
        <v>1</v>
      </c>
      <c r="E243" s="21">
        <v>0</v>
      </c>
      <c r="F243" s="21">
        <v>0</v>
      </c>
      <c r="G243" s="21">
        <f t="shared" si="21"/>
        <v>0</v>
      </c>
      <c r="H243" s="35" t="s">
        <v>158</v>
      </c>
    </row>
    <row r="244" spans="1:8" ht="21.95" customHeight="1">
      <c r="A244" s="44"/>
      <c r="B244" s="39" t="s">
        <v>27</v>
      </c>
      <c r="C244" s="39"/>
      <c r="D244" s="8">
        <f>SUM(D245)</f>
        <v>2</v>
      </c>
      <c r="E244" s="26">
        <f>SUM(E245)</f>
        <v>4</v>
      </c>
      <c r="F244" s="26">
        <f>SUM(F245)</f>
        <v>3</v>
      </c>
      <c r="G244" s="26">
        <f t="shared" si="21"/>
        <v>1</v>
      </c>
      <c r="H244" s="34">
        <f t="shared" si="18"/>
        <v>75</v>
      </c>
    </row>
    <row r="245" spans="1:8" ht="21.95" customHeight="1">
      <c r="A245" s="44"/>
      <c r="B245" s="20" t="s">
        <v>107</v>
      </c>
      <c r="C245" s="18" t="s">
        <v>59</v>
      </c>
      <c r="D245" s="22">
        <v>2</v>
      </c>
      <c r="E245" s="21">
        <v>4</v>
      </c>
      <c r="F245" s="21">
        <v>3</v>
      </c>
      <c r="G245" s="21">
        <f t="shared" si="21"/>
        <v>1</v>
      </c>
      <c r="H245" s="35">
        <f t="shared" si="18"/>
        <v>75</v>
      </c>
    </row>
    <row r="246" spans="1:8" ht="21.95" customHeight="1">
      <c r="A246" s="44"/>
      <c r="B246" s="39" t="s">
        <v>27</v>
      </c>
      <c r="C246" s="39"/>
      <c r="D246" s="8">
        <f>SUM(D247:D248)</f>
        <v>2</v>
      </c>
      <c r="E246" s="26">
        <f>SUM(E247:E248)</f>
        <v>12</v>
      </c>
      <c r="F246" s="26">
        <f>SUM(F247:F248)</f>
        <v>6</v>
      </c>
      <c r="G246" s="26">
        <f t="shared" si="21"/>
        <v>6</v>
      </c>
      <c r="H246" s="34">
        <f t="shared" si="18"/>
        <v>50</v>
      </c>
    </row>
    <row r="247" spans="1:8" ht="21.95" customHeight="1">
      <c r="A247" s="44"/>
      <c r="B247" s="41" t="s">
        <v>52</v>
      </c>
      <c r="C247" s="7" t="s">
        <v>9</v>
      </c>
      <c r="D247" s="22">
        <v>1</v>
      </c>
      <c r="E247" s="21">
        <v>8</v>
      </c>
      <c r="F247" s="21">
        <v>4</v>
      </c>
      <c r="G247" s="21">
        <f t="shared" si="21"/>
        <v>4</v>
      </c>
      <c r="H247" s="35">
        <f t="shared" si="18"/>
        <v>50</v>
      </c>
    </row>
    <row r="248" spans="1:8" ht="21.95" customHeight="1">
      <c r="A248" s="44"/>
      <c r="B248" s="42"/>
      <c r="C248" s="7" t="s">
        <v>11</v>
      </c>
      <c r="D248" s="22">
        <v>1</v>
      </c>
      <c r="E248" s="21">
        <v>4</v>
      </c>
      <c r="F248" s="21">
        <v>2</v>
      </c>
      <c r="G248" s="21">
        <f t="shared" si="21"/>
        <v>2</v>
      </c>
      <c r="H248" s="35">
        <f t="shared" si="18"/>
        <v>50</v>
      </c>
    </row>
    <row r="249" spans="1:8" ht="21.95" customHeight="1">
      <c r="A249" s="44"/>
      <c r="B249" s="39" t="s">
        <v>27</v>
      </c>
      <c r="C249" s="39"/>
      <c r="D249" s="8">
        <f>SUM(D250:D264)</f>
        <v>36</v>
      </c>
      <c r="E249" s="26">
        <f>SUM(E250:E264)</f>
        <v>310</v>
      </c>
      <c r="F249" s="26">
        <f>SUM(F250:F264)</f>
        <v>245</v>
      </c>
      <c r="G249" s="26">
        <f t="shared" si="21"/>
        <v>65</v>
      </c>
      <c r="H249" s="34">
        <f t="shared" si="18"/>
        <v>79.032258064516128</v>
      </c>
    </row>
    <row r="250" spans="1:8" ht="21.95" customHeight="1">
      <c r="A250" s="44"/>
      <c r="B250" s="41" t="s">
        <v>53</v>
      </c>
      <c r="C250" s="18" t="s">
        <v>1</v>
      </c>
      <c r="D250" s="22">
        <v>9</v>
      </c>
      <c r="E250" s="21">
        <v>80</v>
      </c>
      <c r="F250" s="21">
        <v>65</v>
      </c>
      <c r="G250" s="21">
        <f t="shared" si="21"/>
        <v>15</v>
      </c>
      <c r="H250" s="35">
        <f t="shared" si="18"/>
        <v>81.25</v>
      </c>
    </row>
    <row r="251" spans="1:8" ht="21.95" customHeight="1">
      <c r="A251" s="44"/>
      <c r="B251" s="42"/>
      <c r="C251" s="18" t="s">
        <v>10</v>
      </c>
      <c r="D251" s="22">
        <v>2</v>
      </c>
      <c r="E251" s="21">
        <v>18</v>
      </c>
      <c r="F251" s="21">
        <v>14</v>
      </c>
      <c r="G251" s="21">
        <f t="shared" si="21"/>
        <v>4</v>
      </c>
      <c r="H251" s="35">
        <f t="shared" si="18"/>
        <v>77.777777777777786</v>
      </c>
    </row>
    <row r="252" spans="1:8" ht="21.95" customHeight="1">
      <c r="A252" s="44"/>
      <c r="B252" s="42"/>
      <c r="C252" s="18" t="s">
        <v>11</v>
      </c>
      <c r="D252" s="22">
        <v>1</v>
      </c>
      <c r="E252" s="21">
        <v>7</v>
      </c>
      <c r="F252" s="21">
        <v>5</v>
      </c>
      <c r="G252" s="21">
        <f t="shared" si="21"/>
        <v>2</v>
      </c>
      <c r="H252" s="35">
        <f t="shared" si="18"/>
        <v>71.428571428571431</v>
      </c>
    </row>
    <row r="253" spans="1:8" ht="21.95" customHeight="1">
      <c r="A253" s="44"/>
      <c r="B253" s="42"/>
      <c r="C253" s="18" t="s">
        <v>2</v>
      </c>
      <c r="D253" s="22">
        <v>4</v>
      </c>
      <c r="E253" s="21">
        <v>43</v>
      </c>
      <c r="F253" s="21">
        <v>32</v>
      </c>
      <c r="G253" s="21">
        <f t="shared" si="21"/>
        <v>11</v>
      </c>
      <c r="H253" s="35">
        <f t="shared" si="18"/>
        <v>74.418604651162795</v>
      </c>
    </row>
    <row r="254" spans="1:8" ht="21.95" customHeight="1">
      <c r="A254" s="44"/>
      <c r="B254" s="42"/>
      <c r="C254" s="18" t="s">
        <v>12</v>
      </c>
      <c r="D254" s="22">
        <v>2</v>
      </c>
      <c r="E254" s="21">
        <v>22</v>
      </c>
      <c r="F254" s="21">
        <v>17</v>
      </c>
      <c r="G254" s="21">
        <f t="shared" si="21"/>
        <v>5</v>
      </c>
      <c r="H254" s="35">
        <f t="shared" si="18"/>
        <v>77.272727272727266</v>
      </c>
    </row>
    <row r="255" spans="1:8" ht="21.95" customHeight="1">
      <c r="A255" s="44"/>
      <c r="B255" s="42"/>
      <c r="C255" s="18" t="s">
        <v>3</v>
      </c>
      <c r="D255" s="22">
        <v>3</v>
      </c>
      <c r="E255" s="21">
        <v>25</v>
      </c>
      <c r="F255" s="21">
        <v>21</v>
      </c>
      <c r="G255" s="21">
        <f t="shared" si="21"/>
        <v>4</v>
      </c>
      <c r="H255" s="35">
        <f t="shared" si="18"/>
        <v>84</v>
      </c>
    </row>
    <row r="256" spans="1:8" ht="21.95" customHeight="1">
      <c r="A256" s="44"/>
      <c r="B256" s="42"/>
      <c r="C256" s="18" t="s">
        <v>13</v>
      </c>
      <c r="D256" s="22">
        <v>1</v>
      </c>
      <c r="E256" s="21">
        <v>6</v>
      </c>
      <c r="F256" s="21">
        <v>4</v>
      </c>
      <c r="G256" s="21">
        <f t="shared" si="21"/>
        <v>2</v>
      </c>
      <c r="H256" s="35">
        <f t="shared" si="18"/>
        <v>66.666666666666657</v>
      </c>
    </row>
    <row r="257" spans="1:8" ht="21.95" customHeight="1">
      <c r="A257" s="44"/>
      <c r="B257" s="42"/>
      <c r="C257" s="18" t="s">
        <v>14</v>
      </c>
      <c r="D257" s="22">
        <v>1</v>
      </c>
      <c r="E257" s="21">
        <v>19</v>
      </c>
      <c r="F257" s="21">
        <v>13</v>
      </c>
      <c r="G257" s="21">
        <f t="shared" si="21"/>
        <v>6</v>
      </c>
      <c r="H257" s="35">
        <f t="shared" si="18"/>
        <v>68.421052631578945</v>
      </c>
    </row>
    <row r="258" spans="1:8" ht="21.95" customHeight="1">
      <c r="A258" s="44"/>
      <c r="B258" s="42"/>
      <c r="C258" s="18" t="s">
        <v>4</v>
      </c>
      <c r="D258" s="22">
        <v>3</v>
      </c>
      <c r="E258" s="21">
        <v>5</v>
      </c>
      <c r="F258" s="21">
        <v>5</v>
      </c>
      <c r="G258" s="21">
        <f t="shared" si="21"/>
        <v>0</v>
      </c>
      <c r="H258" s="35">
        <f t="shared" si="18"/>
        <v>100</v>
      </c>
    </row>
    <row r="259" spans="1:8" ht="21.95" customHeight="1">
      <c r="A259" s="44"/>
      <c r="B259" s="42"/>
      <c r="C259" s="18" t="s">
        <v>5</v>
      </c>
      <c r="D259" s="22">
        <v>2</v>
      </c>
      <c r="E259" s="21">
        <v>20</v>
      </c>
      <c r="F259" s="21">
        <v>16</v>
      </c>
      <c r="G259" s="21">
        <f t="shared" si="21"/>
        <v>4</v>
      </c>
      <c r="H259" s="35">
        <f t="shared" si="18"/>
        <v>80</v>
      </c>
    </row>
    <row r="260" spans="1:8" ht="21.95" customHeight="1">
      <c r="A260" s="44"/>
      <c r="B260" s="42"/>
      <c r="C260" s="18" t="s">
        <v>6</v>
      </c>
      <c r="D260" s="22">
        <v>1</v>
      </c>
      <c r="E260" s="21">
        <v>8</v>
      </c>
      <c r="F260" s="21">
        <v>6</v>
      </c>
      <c r="G260" s="21">
        <f t="shared" si="21"/>
        <v>2</v>
      </c>
      <c r="H260" s="35">
        <f t="shared" si="18"/>
        <v>75</v>
      </c>
    </row>
    <row r="261" spans="1:8" ht="21.95" customHeight="1">
      <c r="A261" s="44"/>
      <c r="B261" s="42"/>
      <c r="C261" s="18" t="s">
        <v>15</v>
      </c>
      <c r="D261" s="22">
        <v>1</v>
      </c>
      <c r="E261" s="21">
        <v>12</v>
      </c>
      <c r="F261" s="21">
        <v>10</v>
      </c>
      <c r="G261" s="21">
        <f t="shared" si="21"/>
        <v>2</v>
      </c>
      <c r="H261" s="35">
        <f t="shared" si="18"/>
        <v>83.333333333333343</v>
      </c>
    </row>
    <row r="262" spans="1:8" ht="21.75" customHeight="1">
      <c r="A262" s="44"/>
      <c r="B262" s="42"/>
      <c r="C262" s="18" t="s">
        <v>16</v>
      </c>
      <c r="D262" s="22">
        <v>2</v>
      </c>
      <c r="E262" s="21">
        <v>21</v>
      </c>
      <c r="F262" s="21">
        <v>17</v>
      </c>
      <c r="G262" s="21">
        <f t="shared" si="21"/>
        <v>4</v>
      </c>
      <c r="H262" s="35">
        <f t="shared" ref="H262:H325" si="22">F262/E262*100</f>
        <v>80.952380952380949</v>
      </c>
    </row>
    <row r="263" spans="1:8" ht="21.75" customHeight="1">
      <c r="A263" s="44"/>
      <c r="B263" s="42"/>
      <c r="C263" s="18" t="s">
        <v>7</v>
      </c>
      <c r="D263" s="22">
        <v>2</v>
      </c>
      <c r="E263" s="21">
        <v>13</v>
      </c>
      <c r="F263" s="21">
        <v>12</v>
      </c>
      <c r="G263" s="21">
        <f t="shared" si="21"/>
        <v>1</v>
      </c>
      <c r="H263" s="35">
        <f t="shared" si="22"/>
        <v>92.307692307692307</v>
      </c>
    </row>
    <row r="264" spans="1:8" ht="21.75" customHeight="1">
      <c r="A264" s="44"/>
      <c r="B264" s="47"/>
      <c r="C264" s="18" t="s">
        <v>8</v>
      </c>
      <c r="D264" s="22">
        <v>2</v>
      </c>
      <c r="E264" s="21">
        <v>11</v>
      </c>
      <c r="F264" s="21">
        <v>8</v>
      </c>
      <c r="G264" s="21">
        <f t="shared" si="21"/>
        <v>3</v>
      </c>
      <c r="H264" s="35">
        <f t="shared" si="22"/>
        <v>72.727272727272734</v>
      </c>
    </row>
    <row r="265" spans="1:8" ht="21.75" customHeight="1">
      <c r="A265" s="44"/>
      <c r="B265" s="39" t="s">
        <v>27</v>
      </c>
      <c r="C265" s="39"/>
      <c r="D265" s="8">
        <v>1</v>
      </c>
      <c r="E265" s="26">
        <f>SUM(E266)</f>
        <v>4</v>
      </c>
      <c r="F265" s="26">
        <f>SUM(F266)</f>
        <v>2</v>
      </c>
      <c r="G265" s="26">
        <f t="shared" si="21"/>
        <v>2</v>
      </c>
      <c r="H265" s="34">
        <f t="shared" si="22"/>
        <v>50</v>
      </c>
    </row>
    <row r="266" spans="1:8" ht="21.75" customHeight="1">
      <c r="A266" s="44"/>
      <c r="B266" s="7" t="s">
        <v>54</v>
      </c>
      <c r="C266" s="7" t="s">
        <v>16</v>
      </c>
      <c r="D266" s="22">
        <v>1</v>
      </c>
      <c r="E266" s="21">
        <v>4</v>
      </c>
      <c r="F266" s="21">
        <v>2</v>
      </c>
      <c r="G266" s="21">
        <f t="shared" si="21"/>
        <v>2</v>
      </c>
      <c r="H266" s="35">
        <f t="shared" si="22"/>
        <v>50</v>
      </c>
    </row>
    <row r="267" spans="1:8" ht="21.95" customHeight="1">
      <c r="A267" s="44"/>
      <c r="B267" s="39" t="s">
        <v>27</v>
      </c>
      <c r="C267" s="39"/>
      <c r="D267" s="8">
        <f>SUM(D268:D279)</f>
        <v>28</v>
      </c>
      <c r="E267" s="26">
        <f>SUM(E268:E279)</f>
        <v>115</v>
      </c>
      <c r="F267" s="26">
        <f>SUM(F268:F279)</f>
        <v>87</v>
      </c>
      <c r="G267" s="26">
        <f t="shared" si="21"/>
        <v>28</v>
      </c>
      <c r="H267" s="34">
        <f t="shared" si="22"/>
        <v>75.65217391304347</v>
      </c>
    </row>
    <row r="268" spans="1:8" ht="21.95" customHeight="1">
      <c r="A268" s="44"/>
      <c r="B268" s="40" t="s">
        <v>108</v>
      </c>
      <c r="C268" s="18" t="s">
        <v>9</v>
      </c>
      <c r="D268" s="22">
        <v>2</v>
      </c>
      <c r="E268" s="21">
        <v>13</v>
      </c>
      <c r="F268" s="21">
        <v>10</v>
      </c>
      <c r="G268" s="21">
        <f t="shared" si="21"/>
        <v>3</v>
      </c>
      <c r="H268" s="35">
        <f t="shared" si="22"/>
        <v>76.923076923076934</v>
      </c>
    </row>
    <row r="269" spans="1:8" ht="21.95" customHeight="1">
      <c r="A269" s="44"/>
      <c r="B269" s="40"/>
      <c r="C269" s="18" t="s">
        <v>1</v>
      </c>
      <c r="D269" s="22">
        <v>2</v>
      </c>
      <c r="E269" s="21">
        <v>23</v>
      </c>
      <c r="F269" s="21">
        <v>19</v>
      </c>
      <c r="G269" s="21">
        <f t="shared" si="21"/>
        <v>4</v>
      </c>
      <c r="H269" s="35">
        <f t="shared" si="22"/>
        <v>82.608695652173907</v>
      </c>
    </row>
    <row r="270" spans="1:8" ht="21.95" customHeight="1">
      <c r="A270" s="44"/>
      <c r="B270" s="40"/>
      <c r="C270" s="18" t="s">
        <v>10</v>
      </c>
      <c r="D270" s="22">
        <v>3</v>
      </c>
      <c r="E270" s="21">
        <v>12</v>
      </c>
      <c r="F270" s="21">
        <v>8</v>
      </c>
      <c r="G270" s="21">
        <f t="shared" si="21"/>
        <v>4</v>
      </c>
      <c r="H270" s="35">
        <f t="shared" si="22"/>
        <v>66.666666666666657</v>
      </c>
    </row>
    <row r="271" spans="1:8" ht="21.95" customHeight="1">
      <c r="A271" s="44"/>
      <c r="B271" s="40"/>
      <c r="C271" s="18" t="s">
        <v>2</v>
      </c>
      <c r="D271" s="22">
        <v>6</v>
      </c>
      <c r="E271" s="21">
        <v>24</v>
      </c>
      <c r="F271" s="21">
        <v>20</v>
      </c>
      <c r="G271" s="21">
        <f t="shared" si="21"/>
        <v>4</v>
      </c>
      <c r="H271" s="35">
        <f t="shared" si="22"/>
        <v>83.333333333333343</v>
      </c>
    </row>
    <row r="272" spans="1:8" ht="21.95" customHeight="1">
      <c r="A272" s="44"/>
      <c r="B272" s="40"/>
      <c r="C272" s="18" t="s">
        <v>12</v>
      </c>
      <c r="D272" s="22">
        <v>2</v>
      </c>
      <c r="E272" s="21">
        <v>8</v>
      </c>
      <c r="F272" s="21">
        <v>4</v>
      </c>
      <c r="G272" s="21">
        <f t="shared" si="21"/>
        <v>4</v>
      </c>
      <c r="H272" s="35">
        <f t="shared" si="22"/>
        <v>50</v>
      </c>
    </row>
    <row r="273" spans="1:8" ht="21.95" customHeight="1">
      <c r="A273" s="44"/>
      <c r="B273" s="40"/>
      <c r="C273" s="18" t="s">
        <v>3</v>
      </c>
      <c r="D273" s="22">
        <v>4</v>
      </c>
      <c r="E273" s="21">
        <v>6</v>
      </c>
      <c r="F273" s="21">
        <v>5</v>
      </c>
      <c r="G273" s="21">
        <f t="shared" si="21"/>
        <v>1</v>
      </c>
      <c r="H273" s="35">
        <f t="shared" si="22"/>
        <v>83.333333333333343</v>
      </c>
    </row>
    <row r="274" spans="1:8" ht="21.95" customHeight="1">
      <c r="A274" s="44"/>
      <c r="B274" s="40"/>
      <c r="C274" s="18" t="s">
        <v>14</v>
      </c>
      <c r="D274" s="22">
        <v>1</v>
      </c>
      <c r="E274" s="21">
        <v>6</v>
      </c>
      <c r="F274" s="21">
        <v>4</v>
      </c>
      <c r="G274" s="21">
        <f t="shared" si="21"/>
        <v>2</v>
      </c>
      <c r="H274" s="35">
        <f t="shared" si="22"/>
        <v>66.666666666666657</v>
      </c>
    </row>
    <row r="275" spans="1:8" ht="21.95" customHeight="1">
      <c r="A275" s="44"/>
      <c r="B275" s="40"/>
      <c r="C275" s="18" t="s">
        <v>6</v>
      </c>
      <c r="D275" s="22">
        <v>1</v>
      </c>
      <c r="E275" s="21">
        <v>2</v>
      </c>
      <c r="F275" s="21">
        <v>2</v>
      </c>
      <c r="G275" s="21">
        <f t="shared" si="21"/>
        <v>0</v>
      </c>
      <c r="H275" s="35">
        <f t="shared" si="22"/>
        <v>100</v>
      </c>
    </row>
    <row r="276" spans="1:8" ht="21.95" customHeight="1">
      <c r="A276" s="44"/>
      <c r="B276" s="40"/>
      <c r="C276" s="18" t="s">
        <v>15</v>
      </c>
      <c r="D276" s="22">
        <v>2</v>
      </c>
      <c r="E276" s="21">
        <v>5</v>
      </c>
      <c r="F276" s="21">
        <v>4</v>
      </c>
      <c r="G276" s="21">
        <f t="shared" si="21"/>
        <v>1</v>
      </c>
      <c r="H276" s="35">
        <f t="shared" si="22"/>
        <v>80</v>
      </c>
    </row>
    <row r="277" spans="1:8" ht="21.95" customHeight="1">
      <c r="A277" s="44"/>
      <c r="B277" s="40"/>
      <c r="C277" s="18" t="s">
        <v>16</v>
      </c>
      <c r="D277" s="22">
        <v>2</v>
      </c>
      <c r="E277" s="21">
        <v>9</v>
      </c>
      <c r="F277" s="21">
        <v>5</v>
      </c>
      <c r="G277" s="21">
        <f t="shared" si="21"/>
        <v>4</v>
      </c>
      <c r="H277" s="35">
        <f t="shared" si="22"/>
        <v>55.555555555555557</v>
      </c>
    </row>
    <row r="278" spans="1:8" ht="21.95" customHeight="1">
      <c r="A278" s="44"/>
      <c r="B278" s="40"/>
      <c r="C278" s="18" t="s">
        <v>7</v>
      </c>
      <c r="D278" s="22">
        <v>2</v>
      </c>
      <c r="E278" s="21">
        <v>7</v>
      </c>
      <c r="F278" s="21">
        <v>6</v>
      </c>
      <c r="G278" s="21">
        <f t="shared" si="21"/>
        <v>1</v>
      </c>
      <c r="H278" s="35">
        <f t="shared" si="22"/>
        <v>85.714285714285708</v>
      </c>
    </row>
    <row r="279" spans="1:8" ht="21.95" customHeight="1">
      <c r="A279" s="44"/>
      <c r="B279" s="40"/>
      <c r="C279" s="18" t="s">
        <v>8</v>
      </c>
      <c r="D279" s="22">
        <v>1</v>
      </c>
      <c r="E279" s="21">
        <v>0</v>
      </c>
      <c r="F279" s="21">
        <v>0</v>
      </c>
      <c r="G279" s="21">
        <f t="shared" si="21"/>
        <v>0</v>
      </c>
      <c r="H279" s="35" t="s">
        <v>158</v>
      </c>
    </row>
    <row r="280" spans="1:8" ht="21.75" customHeight="1">
      <c r="A280" s="44"/>
      <c r="B280" s="39" t="s">
        <v>27</v>
      </c>
      <c r="C280" s="39"/>
      <c r="D280" s="8">
        <v>1</v>
      </c>
      <c r="E280" s="26">
        <f>SUM(E281)</f>
        <v>1</v>
      </c>
      <c r="F280" s="26">
        <f>SUM(F281)</f>
        <v>1</v>
      </c>
      <c r="G280" s="26">
        <f t="shared" si="21"/>
        <v>0</v>
      </c>
      <c r="H280" s="34">
        <f t="shared" si="22"/>
        <v>100</v>
      </c>
    </row>
    <row r="281" spans="1:8" ht="21.75" customHeight="1">
      <c r="A281" s="44"/>
      <c r="B281" s="18" t="s">
        <v>109</v>
      </c>
      <c r="C281" s="18" t="s">
        <v>72</v>
      </c>
      <c r="D281" s="22">
        <v>1</v>
      </c>
      <c r="E281" s="21">
        <v>1</v>
      </c>
      <c r="F281" s="21">
        <v>1</v>
      </c>
      <c r="G281" s="21">
        <f t="shared" si="21"/>
        <v>0</v>
      </c>
      <c r="H281" s="35">
        <f t="shared" si="22"/>
        <v>100</v>
      </c>
    </row>
    <row r="282" spans="1:8" ht="21.95" customHeight="1">
      <c r="A282" s="44"/>
      <c r="B282" s="39" t="s">
        <v>27</v>
      </c>
      <c r="C282" s="39"/>
      <c r="D282" s="8">
        <f>SUM(D283:D298)</f>
        <v>133</v>
      </c>
      <c r="E282" s="26">
        <f>SUM(E283:E298)</f>
        <v>259</v>
      </c>
      <c r="F282" s="26">
        <f>SUM(F283:F298)</f>
        <v>193</v>
      </c>
      <c r="G282" s="26">
        <f t="shared" si="21"/>
        <v>66</v>
      </c>
      <c r="H282" s="34">
        <f t="shared" si="22"/>
        <v>74.517374517374506</v>
      </c>
    </row>
    <row r="283" spans="1:8" ht="21.95" customHeight="1">
      <c r="A283" s="44"/>
      <c r="B283" s="40" t="s">
        <v>20</v>
      </c>
      <c r="C283" s="18" t="s">
        <v>110</v>
      </c>
      <c r="D283" s="22">
        <v>8</v>
      </c>
      <c r="E283" s="21">
        <v>37</v>
      </c>
      <c r="F283" s="21">
        <v>28</v>
      </c>
      <c r="G283" s="21">
        <f t="shared" si="21"/>
        <v>9</v>
      </c>
      <c r="H283" s="35">
        <f t="shared" si="22"/>
        <v>75.675675675675677</v>
      </c>
    </row>
    <row r="284" spans="1:8" ht="21.95" customHeight="1">
      <c r="A284" s="44"/>
      <c r="B284" s="40"/>
      <c r="C284" s="18" t="s">
        <v>111</v>
      </c>
      <c r="D284" s="22">
        <v>9</v>
      </c>
      <c r="E284" s="21">
        <v>15</v>
      </c>
      <c r="F284" s="21">
        <v>13</v>
      </c>
      <c r="G284" s="21">
        <f t="shared" si="21"/>
        <v>2</v>
      </c>
      <c r="H284" s="35">
        <f t="shared" si="22"/>
        <v>86.666666666666671</v>
      </c>
    </row>
    <row r="285" spans="1:8" ht="21.95" customHeight="1">
      <c r="A285" s="44"/>
      <c r="B285" s="40"/>
      <c r="C285" s="18" t="s">
        <v>112</v>
      </c>
      <c r="D285" s="22">
        <v>8</v>
      </c>
      <c r="E285" s="21">
        <v>17</v>
      </c>
      <c r="F285" s="21">
        <v>12</v>
      </c>
      <c r="G285" s="21">
        <f t="shared" si="21"/>
        <v>5</v>
      </c>
      <c r="H285" s="35">
        <f t="shared" si="22"/>
        <v>70.588235294117652</v>
      </c>
    </row>
    <row r="286" spans="1:8" ht="21.95" customHeight="1">
      <c r="A286" s="44"/>
      <c r="B286" s="40"/>
      <c r="C286" s="18" t="s">
        <v>85</v>
      </c>
      <c r="D286" s="22">
        <v>8</v>
      </c>
      <c r="E286" s="21">
        <v>14</v>
      </c>
      <c r="F286" s="21">
        <v>13</v>
      </c>
      <c r="G286" s="21">
        <f t="shared" si="21"/>
        <v>1</v>
      </c>
      <c r="H286" s="35">
        <f t="shared" si="22"/>
        <v>92.857142857142861</v>
      </c>
    </row>
    <row r="287" spans="1:8" ht="21.95" customHeight="1">
      <c r="A287" s="44"/>
      <c r="B287" s="40"/>
      <c r="C287" s="18" t="s">
        <v>113</v>
      </c>
      <c r="D287" s="22">
        <v>10</v>
      </c>
      <c r="E287" s="21">
        <v>37</v>
      </c>
      <c r="F287" s="21">
        <v>31</v>
      </c>
      <c r="G287" s="21">
        <f t="shared" si="21"/>
        <v>6</v>
      </c>
      <c r="H287" s="35">
        <f t="shared" si="22"/>
        <v>83.78378378378379</v>
      </c>
    </row>
    <row r="288" spans="1:8" ht="21.95" customHeight="1">
      <c r="A288" s="44"/>
      <c r="B288" s="40"/>
      <c r="C288" s="18" t="s">
        <v>114</v>
      </c>
      <c r="D288" s="22">
        <v>11</v>
      </c>
      <c r="E288" s="21">
        <v>19</v>
      </c>
      <c r="F288" s="21">
        <v>12</v>
      </c>
      <c r="G288" s="21">
        <f t="shared" si="21"/>
        <v>7</v>
      </c>
      <c r="H288" s="35">
        <f t="shared" si="22"/>
        <v>63.157894736842103</v>
      </c>
    </row>
    <row r="289" spans="1:8" ht="21.95" customHeight="1">
      <c r="A289" s="44"/>
      <c r="B289" s="40"/>
      <c r="C289" s="18" t="s">
        <v>79</v>
      </c>
      <c r="D289" s="22">
        <v>15</v>
      </c>
      <c r="E289" s="21">
        <v>20</v>
      </c>
      <c r="F289" s="21">
        <v>16</v>
      </c>
      <c r="G289" s="21">
        <f t="shared" si="21"/>
        <v>4</v>
      </c>
      <c r="H289" s="35">
        <f t="shared" si="22"/>
        <v>80</v>
      </c>
    </row>
    <row r="290" spans="1:8" ht="21.95" customHeight="1">
      <c r="A290" s="44"/>
      <c r="B290" s="40"/>
      <c r="C290" s="18" t="s">
        <v>115</v>
      </c>
      <c r="D290" s="22">
        <v>2</v>
      </c>
      <c r="E290" s="21">
        <v>5</v>
      </c>
      <c r="F290" s="21">
        <v>3</v>
      </c>
      <c r="G290" s="21">
        <f t="shared" si="21"/>
        <v>2</v>
      </c>
      <c r="H290" s="35">
        <f t="shared" si="22"/>
        <v>60</v>
      </c>
    </row>
    <row r="291" spans="1:8" ht="21.95" customHeight="1">
      <c r="A291" s="44"/>
      <c r="B291" s="40"/>
      <c r="C291" s="18" t="s">
        <v>116</v>
      </c>
      <c r="D291" s="22">
        <v>10</v>
      </c>
      <c r="E291" s="21">
        <v>25</v>
      </c>
      <c r="F291" s="21">
        <v>15</v>
      </c>
      <c r="G291" s="21">
        <f t="shared" si="21"/>
        <v>10</v>
      </c>
      <c r="H291" s="35">
        <f t="shared" si="22"/>
        <v>60</v>
      </c>
    </row>
    <row r="292" spans="1:8" ht="21.95" customHeight="1">
      <c r="A292" s="44"/>
      <c r="B292" s="40"/>
      <c r="C292" s="18" t="s">
        <v>74</v>
      </c>
      <c r="D292" s="22">
        <v>12</v>
      </c>
      <c r="E292" s="21">
        <v>15</v>
      </c>
      <c r="F292" s="21">
        <v>9</v>
      </c>
      <c r="G292" s="21">
        <f t="shared" si="21"/>
        <v>6</v>
      </c>
      <c r="H292" s="35">
        <f t="shared" si="22"/>
        <v>60</v>
      </c>
    </row>
    <row r="293" spans="1:8" ht="21.95" customHeight="1">
      <c r="A293" s="44"/>
      <c r="B293" s="40"/>
      <c r="C293" s="18" t="s">
        <v>91</v>
      </c>
      <c r="D293" s="22">
        <v>1</v>
      </c>
      <c r="E293" s="21">
        <v>4</v>
      </c>
      <c r="F293" s="21">
        <v>1</v>
      </c>
      <c r="G293" s="21">
        <f t="shared" si="21"/>
        <v>3</v>
      </c>
      <c r="H293" s="35">
        <f t="shared" si="22"/>
        <v>25</v>
      </c>
    </row>
    <row r="294" spans="1:8" ht="21.95" customHeight="1">
      <c r="A294" s="44"/>
      <c r="B294" s="40"/>
      <c r="C294" s="18" t="s">
        <v>95</v>
      </c>
      <c r="D294" s="22">
        <v>7</v>
      </c>
      <c r="E294" s="21">
        <v>11</v>
      </c>
      <c r="F294" s="21">
        <v>10</v>
      </c>
      <c r="G294" s="21">
        <f t="shared" si="21"/>
        <v>1</v>
      </c>
      <c r="H294" s="35">
        <f t="shared" si="22"/>
        <v>90.909090909090907</v>
      </c>
    </row>
    <row r="295" spans="1:8" ht="21.95" customHeight="1">
      <c r="A295" s="44"/>
      <c r="B295" s="40"/>
      <c r="C295" s="18" t="s">
        <v>117</v>
      </c>
      <c r="D295" s="22">
        <v>10</v>
      </c>
      <c r="E295" s="21">
        <v>15</v>
      </c>
      <c r="F295" s="21">
        <v>11</v>
      </c>
      <c r="G295" s="21">
        <f t="shared" si="21"/>
        <v>4</v>
      </c>
      <c r="H295" s="35">
        <f t="shared" si="22"/>
        <v>73.333333333333329</v>
      </c>
    </row>
    <row r="296" spans="1:8" ht="21.95" customHeight="1">
      <c r="A296" s="44"/>
      <c r="B296" s="40"/>
      <c r="C296" s="18" t="s">
        <v>118</v>
      </c>
      <c r="D296" s="22">
        <v>5</v>
      </c>
      <c r="E296" s="21">
        <v>3</v>
      </c>
      <c r="F296" s="21">
        <v>1</v>
      </c>
      <c r="G296" s="21">
        <f t="shared" ref="G296:G359" si="23">E296-F296</f>
        <v>2</v>
      </c>
      <c r="H296" s="35">
        <f t="shared" si="22"/>
        <v>33.333333333333329</v>
      </c>
    </row>
    <row r="297" spans="1:8" ht="21.95" customHeight="1">
      <c r="A297" s="44"/>
      <c r="B297" s="40"/>
      <c r="C297" s="18" t="s">
        <v>119</v>
      </c>
      <c r="D297" s="22">
        <v>12</v>
      </c>
      <c r="E297" s="21">
        <v>15</v>
      </c>
      <c r="F297" s="21">
        <v>11</v>
      </c>
      <c r="G297" s="21">
        <f t="shared" si="23"/>
        <v>4</v>
      </c>
      <c r="H297" s="35">
        <f t="shared" si="22"/>
        <v>73.333333333333329</v>
      </c>
    </row>
    <row r="298" spans="1:8" ht="21.95" customHeight="1">
      <c r="A298" s="44"/>
      <c r="B298" s="40"/>
      <c r="C298" s="18" t="s">
        <v>120</v>
      </c>
      <c r="D298" s="22">
        <v>5</v>
      </c>
      <c r="E298" s="21">
        <v>7</v>
      </c>
      <c r="F298" s="21">
        <v>7</v>
      </c>
      <c r="G298" s="21">
        <f t="shared" si="23"/>
        <v>0</v>
      </c>
      <c r="H298" s="35">
        <f t="shared" si="22"/>
        <v>100</v>
      </c>
    </row>
    <row r="299" spans="1:8" ht="21.95" customHeight="1">
      <c r="A299" s="44"/>
      <c r="B299" s="39" t="s">
        <v>27</v>
      </c>
      <c r="C299" s="39"/>
      <c r="D299" s="8">
        <v>1</v>
      </c>
      <c r="E299" s="26">
        <f>SUM(E300)</f>
        <v>2</v>
      </c>
      <c r="F299" s="26">
        <f>SUM(F300)</f>
        <v>1</v>
      </c>
      <c r="G299" s="26">
        <f t="shared" si="23"/>
        <v>1</v>
      </c>
      <c r="H299" s="34">
        <f t="shared" si="22"/>
        <v>50</v>
      </c>
    </row>
    <row r="300" spans="1:8" ht="21.95" customHeight="1">
      <c r="A300" s="44"/>
      <c r="B300" s="7" t="s">
        <v>55</v>
      </c>
      <c r="C300" s="7" t="s">
        <v>72</v>
      </c>
      <c r="D300" s="22">
        <v>1</v>
      </c>
      <c r="E300" s="21">
        <v>2</v>
      </c>
      <c r="F300" s="21">
        <v>1</v>
      </c>
      <c r="G300" s="21">
        <f t="shared" si="23"/>
        <v>1</v>
      </c>
      <c r="H300" s="35">
        <f t="shared" si="22"/>
        <v>50</v>
      </c>
    </row>
    <row r="301" spans="1:8" ht="21.95" customHeight="1">
      <c r="A301" s="44"/>
      <c r="B301" s="39" t="s">
        <v>27</v>
      </c>
      <c r="C301" s="39"/>
      <c r="D301" s="8">
        <f>SUM(D302:D317)</f>
        <v>74</v>
      </c>
      <c r="E301" s="26">
        <f>SUM(E302:E317)</f>
        <v>169</v>
      </c>
      <c r="F301" s="26">
        <f>SUM(F302:F317)</f>
        <v>133</v>
      </c>
      <c r="G301" s="26">
        <f t="shared" si="23"/>
        <v>36</v>
      </c>
      <c r="H301" s="34">
        <f t="shared" si="22"/>
        <v>78.698224852071007</v>
      </c>
    </row>
    <row r="302" spans="1:8" ht="21.95" customHeight="1">
      <c r="A302" s="44"/>
      <c r="B302" s="41" t="s">
        <v>21</v>
      </c>
      <c r="C302" s="18" t="s">
        <v>72</v>
      </c>
      <c r="D302" s="22">
        <v>3</v>
      </c>
      <c r="E302" s="21">
        <v>15</v>
      </c>
      <c r="F302" s="21">
        <v>11</v>
      </c>
      <c r="G302" s="21">
        <f t="shared" si="23"/>
        <v>4</v>
      </c>
      <c r="H302" s="35">
        <f t="shared" si="22"/>
        <v>73.333333333333329</v>
      </c>
    </row>
    <row r="303" spans="1:8" ht="21.95" customHeight="1">
      <c r="A303" s="44"/>
      <c r="B303" s="42"/>
      <c r="C303" s="18" t="s">
        <v>94</v>
      </c>
      <c r="D303" s="22">
        <v>12</v>
      </c>
      <c r="E303" s="21">
        <v>39</v>
      </c>
      <c r="F303" s="21">
        <v>33</v>
      </c>
      <c r="G303" s="21">
        <f t="shared" si="23"/>
        <v>6</v>
      </c>
      <c r="H303" s="35">
        <f t="shared" si="22"/>
        <v>84.615384615384613</v>
      </c>
    </row>
    <row r="304" spans="1:8" ht="21.95" customHeight="1">
      <c r="A304" s="44"/>
      <c r="B304" s="42"/>
      <c r="C304" s="18" t="s">
        <v>100</v>
      </c>
      <c r="D304" s="22">
        <v>2</v>
      </c>
      <c r="E304" s="21">
        <v>5</v>
      </c>
      <c r="F304" s="21">
        <v>3</v>
      </c>
      <c r="G304" s="21">
        <f t="shared" si="23"/>
        <v>2</v>
      </c>
      <c r="H304" s="35">
        <f t="shared" si="22"/>
        <v>60</v>
      </c>
    </row>
    <row r="305" spans="1:8" ht="21.95" customHeight="1">
      <c r="A305" s="44"/>
      <c r="B305" s="42"/>
      <c r="C305" s="18" t="s">
        <v>64</v>
      </c>
      <c r="D305" s="22">
        <v>8</v>
      </c>
      <c r="E305" s="21">
        <v>11</v>
      </c>
      <c r="F305" s="21">
        <v>9</v>
      </c>
      <c r="G305" s="21">
        <f t="shared" si="23"/>
        <v>2</v>
      </c>
      <c r="H305" s="35">
        <f t="shared" si="22"/>
        <v>81.818181818181827</v>
      </c>
    </row>
    <row r="306" spans="1:8" ht="21.95" customHeight="1">
      <c r="A306" s="44"/>
      <c r="B306" s="42"/>
      <c r="C306" s="18" t="s">
        <v>65</v>
      </c>
      <c r="D306" s="22">
        <v>2</v>
      </c>
      <c r="E306" s="21">
        <v>6</v>
      </c>
      <c r="F306" s="21">
        <v>3</v>
      </c>
      <c r="G306" s="21">
        <f t="shared" si="23"/>
        <v>3</v>
      </c>
      <c r="H306" s="35">
        <f t="shared" si="22"/>
        <v>50</v>
      </c>
    </row>
    <row r="307" spans="1:8" ht="21.95" customHeight="1">
      <c r="A307" s="44"/>
      <c r="B307" s="42"/>
      <c r="C307" s="18" t="s">
        <v>59</v>
      </c>
      <c r="D307" s="22">
        <v>5</v>
      </c>
      <c r="E307" s="21">
        <v>11</v>
      </c>
      <c r="F307" s="21">
        <v>9</v>
      </c>
      <c r="G307" s="21">
        <f t="shared" si="23"/>
        <v>2</v>
      </c>
      <c r="H307" s="35">
        <f t="shared" si="22"/>
        <v>81.818181818181827</v>
      </c>
    </row>
    <row r="308" spans="1:8" ht="21.95" customHeight="1">
      <c r="A308" s="44"/>
      <c r="B308" s="42"/>
      <c r="C308" s="18" t="s">
        <v>79</v>
      </c>
      <c r="D308" s="22">
        <v>5</v>
      </c>
      <c r="E308" s="21">
        <v>7</v>
      </c>
      <c r="F308" s="21">
        <v>4</v>
      </c>
      <c r="G308" s="21">
        <f t="shared" si="23"/>
        <v>3</v>
      </c>
      <c r="H308" s="35">
        <f t="shared" si="22"/>
        <v>57.142857142857139</v>
      </c>
    </row>
    <row r="309" spans="1:8" ht="21.95" customHeight="1">
      <c r="A309" s="44"/>
      <c r="B309" s="42"/>
      <c r="C309" s="18" t="s">
        <v>58</v>
      </c>
      <c r="D309" s="22">
        <v>1</v>
      </c>
      <c r="E309" s="21">
        <v>6</v>
      </c>
      <c r="F309" s="21">
        <v>3</v>
      </c>
      <c r="G309" s="21">
        <f t="shared" si="23"/>
        <v>3</v>
      </c>
      <c r="H309" s="35">
        <f t="shared" si="22"/>
        <v>50</v>
      </c>
    </row>
    <row r="310" spans="1:8" ht="21.95" customHeight="1">
      <c r="A310" s="44"/>
      <c r="B310" s="42"/>
      <c r="C310" s="18" t="s">
        <v>121</v>
      </c>
      <c r="D310" s="22">
        <v>5</v>
      </c>
      <c r="E310" s="21">
        <v>9</v>
      </c>
      <c r="F310" s="21">
        <v>8</v>
      </c>
      <c r="G310" s="21">
        <f t="shared" si="23"/>
        <v>1</v>
      </c>
      <c r="H310" s="35">
        <f t="shared" si="22"/>
        <v>88.888888888888886</v>
      </c>
    </row>
    <row r="311" spans="1:8" ht="21.95" customHeight="1">
      <c r="A311" s="44"/>
      <c r="B311" s="42"/>
      <c r="C311" s="18" t="s">
        <v>122</v>
      </c>
      <c r="D311" s="22">
        <v>9</v>
      </c>
      <c r="E311" s="21">
        <v>14</v>
      </c>
      <c r="F311" s="21">
        <v>13</v>
      </c>
      <c r="G311" s="21">
        <f t="shared" si="23"/>
        <v>1</v>
      </c>
      <c r="H311" s="35">
        <f t="shared" si="22"/>
        <v>92.857142857142861</v>
      </c>
    </row>
    <row r="312" spans="1:8" ht="21.95" customHeight="1">
      <c r="A312" s="44"/>
      <c r="B312" s="42"/>
      <c r="C312" s="18" t="s">
        <v>91</v>
      </c>
      <c r="D312" s="22">
        <v>2</v>
      </c>
      <c r="E312" s="21">
        <v>3</v>
      </c>
      <c r="F312" s="21">
        <v>2</v>
      </c>
      <c r="G312" s="21">
        <f t="shared" si="23"/>
        <v>1</v>
      </c>
      <c r="H312" s="35">
        <f t="shared" si="22"/>
        <v>66.666666666666657</v>
      </c>
    </row>
    <row r="313" spans="1:8" ht="21.95" customHeight="1">
      <c r="A313" s="44"/>
      <c r="B313" s="42"/>
      <c r="C313" s="18" t="s">
        <v>95</v>
      </c>
      <c r="D313" s="22">
        <v>5</v>
      </c>
      <c r="E313" s="21">
        <v>9</v>
      </c>
      <c r="F313" s="21">
        <v>9</v>
      </c>
      <c r="G313" s="21">
        <f t="shared" si="23"/>
        <v>0</v>
      </c>
      <c r="H313" s="35">
        <f t="shared" si="22"/>
        <v>100</v>
      </c>
    </row>
    <row r="314" spans="1:8" ht="21.95" customHeight="1">
      <c r="A314" s="44"/>
      <c r="B314" s="42"/>
      <c r="C314" s="18" t="s">
        <v>57</v>
      </c>
      <c r="D314" s="22">
        <v>5</v>
      </c>
      <c r="E314" s="21">
        <v>8</v>
      </c>
      <c r="F314" s="21">
        <v>7</v>
      </c>
      <c r="G314" s="21">
        <f t="shared" si="23"/>
        <v>1</v>
      </c>
      <c r="H314" s="35">
        <f t="shared" si="22"/>
        <v>87.5</v>
      </c>
    </row>
    <row r="315" spans="1:8" ht="21.95" customHeight="1">
      <c r="A315" s="44"/>
      <c r="B315" s="42"/>
      <c r="C315" s="18" t="s">
        <v>80</v>
      </c>
      <c r="D315" s="22">
        <v>4</v>
      </c>
      <c r="E315" s="21">
        <v>12</v>
      </c>
      <c r="F315" s="21">
        <v>8</v>
      </c>
      <c r="G315" s="21">
        <f t="shared" si="23"/>
        <v>4</v>
      </c>
      <c r="H315" s="35">
        <f t="shared" si="22"/>
        <v>66.666666666666657</v>
      </c>
    </row>
    <row r="316" spans="1:8" ht="21.75" customHeight="1">
      <c r="A316" s="44"/>
      <c r="B316" s="42"/>
      <c r="C316" s="18" t="s">
        <v>88</v>
      </c>
      <c r="D316" s="22">
        <v>2</v>
      </c>
      <c r="E316" s="21">
        <v>6</v>
      </c>
      <c r="F316" s="21">
        <v>5</v>
      </c>
      <c r="G316" s="21">
        <f t="shared" si="23"/>
        <v>1</v>
      </c>
      <c r="H316" s="35">
        <f t="shared" si="22"/>
        <v>83.333333333333343</v>
      </c>
    </row>
    <row r="317" spans="1:8" ht="21.75" customHeight="1">
      <c r="A317" s="44"/>
      <c r="B317" s="47"/>
      <c r="C317" s="18" t="s">
        <v>70</v>
      </c>
      <c r="D317" s="22">
        <v>4</v>
      </c>
      <c r="E317" s="21">
        <v>8</v>
      </c>
      <c r="F317" s="21">
        <v>6</v>
      </c>
      <c r="G317" s="21">
        <f t="shared" si="23"/>
        <v>2</v>
      </c>
      <c r="H317" s="35">
        <f t="shared" si="22"/>
        <v>75</v>
      </c>
    </row>
    <row r="318" spans="1:8" ht="21.75" customHeight="1">
      <c r="A318" s="44"/>
      <c r="B318" s="39" t="s">
        <v>27</v>
      </c>
      <c r="C318" s="39"/>
      <c r="D318" s="8">
        <v>1</v>
      </c>
      <c r="E318" s="26">
        <f>SUM(E319)</f>
        <v>0</v>
      </c>
      <c r="F318" s="26">
        <f>SUM(F319)</f>
        <v>0</v>
      </c>
      <c r="G318" s="26">
        <f t="shared" si="23"/>
        <v>0</v>
      </c>
      <c r="H318" s="34" t="s">
        <v>158</v>
      </c>
    </row>
    <row r="319" spans="1:8" ht="21.75" customHeight="1">
      <c r="A319" s="44"/>
      <c r="B319" s="7" t="s">
        <v>56</v>
      </c>
      <c r="C319" s="7" t="s">
        <v>72</v>
      </c>
      <c r="D319" s="22">
        <v>1</v>
      </c>
      <c r="E319" s="21">
        <v>0</v>
      </c>
      <c r="F319" s="21">
        <v>0</v>
      </c>
      <c r="G319" s="21">
        <f t="shared" si="23"/>
        <v>0</v>
      </c>
      <c r="H319" s="35" t="s">
        <v>158</v>
      </c>
    </row>
    <row r="320" spans="1:8" ht="21.95" customHeight="1">
      <c r="A320" s="44"/>
      <c r="B320" s="39" t="s">
        <v>27</v>
      </c>
      <c r="C320" s="39"/>
      <c r="D320" s="8">
        <f>SUM(D321:D330)</f>
        <v>16</v>
      </c>
      <c r="E320" s="26">
        <f>SUM(E321:E330)</f>
        <v>123</v>
      </c>
      <c r="F320" s="26">
        <f>SUM(F321:F330)</f>
        <v>106</v>
      </c>
      <c r="G320" s="26">
        <f t="shared" si="23"/>
        <v>17</v>
      </c>
      <c r="H320" s="34">
        <f t="shared" si="22"/>
        <v>86.178861788617894</v>
      </c>
    </row>
    <row r="321" spans="1:8" ht="21.95" customHeight="1">
      <c r="A321" s="44"/>
      <c r="B321" s="40" t="s">
        <v>22</v>
      </c>
      <c r="C321" s="18" t="s">
        <v>100</v>
      </c>
      <c r="D321" s="22">
        <v>2</v>
      </c>
      <c r="E321" s="21">
        <v>20</v>
      </c>
      <c r="F321" s="21">
        <v>18</v>
      </c>
      <c r="G321" s="21">
        <f t="shared" si="23"/>
        <v>2</v>
      </c>
      <c r="H321" s="35">
        <f t="shared" si="22"/>
        <v>90</v>
      </c>
    </row>
    <row r="322" spans="1:8" ht="21.75" customHeight="1">
      <c r="A322" s="44"/>
      <c r="B322" s="40"/>
      <c r="C322" s="18" t="s">
        <v>85</v>
      </c>
      <c r="D322" s="22">
        <v>2</v>
      </c>
      <c r="E322" s="21">
        <v>15</v>
      </c>
      <c r="F322" s="21">
        <v>14</v>
      </c>
      <c r="G322" s="21">
        <f t="shared" si="23"/>
        <v>1</v>
      </c>
      <c r="H322" s="35">
        <f t="shared" si="22"/>
        <v>93.333333333333329</v>
      </c>
    </row>
    <row r="323" spans="1:8" ht="21.95" customHeight="1">
      <c r="A323" s="44"/>
      <c r="B323" s="40"/>
      <c r="C323" s="18" t="s">
        <v>90</v>
      </c>
      <c r="D323" s="22">
        <v>1</v>
      </c>
      <c r="E323" s="21">
        <v>10</v>
      </c>
      <c r="F323" s="21">
        <v>7</v>
      </c>
      <c r="G323" s="21">
        <f t="shared" si="23"/>
        <v>3</v>
      </c>
      <c r="H323" s="35">
        <f t="shared" si="22"/>
        <v>70</v>
      </c>
    </row>
    <row r="324" spans="1:8" ht="21.95" customHeight="1">
      <c r="A324" s="44"/>
      <c r="B324" s="40"/>
      <c r="C324" s="18" t="s">
        <v>59</v>
      </c>
      <c r="D324" s="22">
        <v>1</v>
      </c>
      <c r="E324" s="21">
        <v>8</v>
      </c>
      <c r="F324" s="21">
        <v>8</v>
      </c>
      <c r="G324" s="21">
        <f t="shared" si="23"/>
        <v>0</v>
      </c>
      <c r="H324" s="35">
        <f t="shared" si="22"/>
        <v>100</v>
      </c>
    </row>
    <row r="325" spans="1:8" ht="21.95" customHeight="1">
      <c r="A325" s="44"/>
      <c r="B325" s="40"/>
      <c r="C325" s="18" t="s">
        <v>67</v>
      </c>
      <c r="D325" s="22">
        <v>3</v>
      </c>
      <c r="E325" s="21">
        <v>26</v>
      </c>
      <c r="F325" s="21">
        <v>21</v>
      </c>
      <c r="G325" s="21">
        <f t="shared" si="23"/>
        <v>5</v>
      </c>
      <c r="H325" s="35">
        <f t="shared" si="22"/>
        <v>80.769230769230774</v>
      </c>
    </row>
    <row r="326" spans="1:8" ht="21.95" customHeight="1">
      <c r="A326" s="44"/>
      <c r="B326" s="40"/>
      <c r="C326" s="18" t="s">
        <v>123</v>
      </c>
      <c r="D326" s="22">
        <v>1</v>
      </c>
      <c r="E326" s="21">
        <v>8</v>
      </c>
      <c r="F326" s="21">
        <v>6</v>
      </c>
      <c r="G326" s="21">
        <f t="shared" si="23"/>
        <v>2</v>
      </c>
      <c r="H326" s="35">
        <f t="shared" ref="H326:H383" si="24">F326/E326*100</f>
        <v>75</v>
      </c>
    </row>
    <row r="327" spans="1:8" ht="21.95" customHeight="1">
      <c r="A327" s="44"/>
      <c r="B327" s="40"/>
      <c r="C327" s="18" t="s">
        <v>122</v>
      </c>
      <c r="D327" s="22">
        <v>2</v>
      </c>
      <c r="E327" s="21">
        <v>8</v>
      </c>
      <c r="F327" s="21">
        <v>8</v>
      </c>
      <c r="G327" s="21">
        <f t="shared" si="23"/>
        <v>0</v>
      </c>
      <c r="H327" s="35">
        <f t="shared" si="24"/>
        <v>100</v>
      </c>
    </row>
    <row r="328" spans="1:8" ht="21.95" customHeight="1">
      <c r="A328" s="44"/>
      <c r="B328" s="40"/>
      <c r="C328" s="18" t="s">
        <v>57</v>
      </c>
      <c r="D328" s="22">
        <v>2</v>
      </c>
      <c r="E328" s="21">
        <v>19</v>
      </c>
      <c r="F328" s="21">
        <v>16</v>
      </c>
      <c r="G328" s="21">
        <f t="shared" si="23"/>
        <v>3</v>
      </c>
      <c r="H328" s="35">
        <f t="shared" si="24"/>
        <v>84.210526315789465</v>
      </c>
    </row>
    <row r="329" spans="1:8" ht="21.95" customHeight="1">
      <c r="A329" s="44"/>
      <c r="B329" s="40"/>
      <c r="C329" s="18" t="s">
        <v>124</v>
      </c>
      <c r="D329" s="22">
        <v>1</v>
      </c>
      <c r="E329" s="21">
        <v>5</v>
      </c>
      <c r="F329" s="21">
        <v>4</v>
      </c>
      <c r="G329" s="21">
        <f t="shared" si="23"/>
        <v>1</v>
      </c>
      <c r="H329" s="35">
        <f t="shared" si="24"/>
        <v>80</v>
      </c>
    </row>
    <row r="330" spans="1:8" ht="21.95" customHeight="1">
      <c r="A330" s="44"/>
      <c r="B330" s="40"/>
      <c r="C330" s="18" t="s">
        <v>101</v>
      </c>
      <c r="D330" s="22">
        <v>1</v>
      </c>
      <c r="E330" s="21">
        <v>4</v>
      </c>
      <c r="F330" s="21">
        <v>4</v>
      </c>
      <c r="G330" s="21">
        <f t="shared" si="23"/>
        <v>0</v>
      </c>
      <c r="H330" s="35">
        <f t="shared" si="24"/>
        <v>100</v>
      </c>
    </row>
    <row r="331" spans="1:8" ht="21.95" customHeight="1">
      <c r="A331" s="44"/>
      <c r="B331" s="39" t="s">
        <v>27</v>
      </c>
      <c r="C331" s="39"/>
      <c r="D331" s="8">
        <f>SUM(D332:D334)</f>
        <v>4</v>
      </c>
      <c r="E331" s="26">
        <f>SUM(E332:E334)</f>
        <v>6</v>
      </c>
      <c r="F331" s="26">
        <f>SUM(F332:F334)</f>
        <v>4</v>
      </c>
      <c r="G331" s="26">
        <f t="shared" si="23"/>
        <v>2</v>
      </c>
      <c r="H331" s="34">
        <f t="shared" si="24"/>
        <v>66.666666666666657</v>
      </c>
    </row>
    <row r="332" spans="1:8" ht="21.95" customHeight="1">
      <c r="A332" s="44"/>
      <c r="B332" s="40" t="s">
        <v>23</v>
      </c>
      <c r="C332" s="7" t="s">
        <v>1</v>
      </c>
      <c r="D332" s="22">
        <v>1</v>
      </c>
      <c r="E332" s="21">
        <v>4</v>
      </c>
      <c r="F332" s="21">
        <v>2</v>
      </c>
      <c r="G332" s="21">
        <f t="shared" si="23"/>
        <v>2</v>
      </c>
      <c r="H332" s="35">
        <f t="shared" si="24"/>
        <v>50</v>
      </c>
    </row>
    <row r="333" spans="1:8" ht="21.95" customHeight="1">
      <c r="A333" s="44"/>
      <c r="B333" s="40"/>
      <c r="C333" s="18" t="s">
        <v>79</v>
      </c>
      <c r="D333" s="22">
        <v>2</v>
      </c>
      <c r="E333" s="21">
        <v>1</v>
      </c>
      <c r="F333" s="21">
        <v>1</v>
      </c>
      <c r="G333" s="21">
        <f t="shared" si="23"/>
        <v>0</v>
      </c>
      <c r="H333" s="35">
        <f t="shared" si="24"/>
        <v>100</v>
      </c>
    </row>
    <row r="334" spans="1:8" ht="21.95" customHeight="1">
      <c r="A334" s="44"/>
      <c r="B334" s="40"/>
      <c r="C334" s="7" t="s">
        <v>74</v>
      </c>
      <c r="D334" s="22">
        <v>1</v>
      </c>
      <c r="E334" s="21">
        <v>1</v>
      </c>
      <c r="F334" s="21">
        <v>1</v>
      </c>
      <c r="G334" s="21">
        <f t="shared" si="23"/>
        <v>0</v>
      </c>
      <c r="H334" s="35">
        <f t="shared" si="24"/>
        <v>100</v>
      </c>
    </row>
    <row r="335" spans="1:8" ht="21.95" customHeight="1">
      <c r="A335" s="44"/>
      <c r="B335" s="39" t="s">
        <v>27</v>
      </c>
      <c r="C335" s="39"/>
      <c r="D335" s="8">
        <f>SUM(D336:D341)</f>
        <v>8</v>
      </c>
      <c r="E335" s="26">
        <f>SUM(E336:E341)</f>
        <v>28</v>
      </c>
      <c r="F335" s="26">
        <f>SUM(F336:F341)</f>
        <v>16</v>
      </c>
      <c r="G335" s="26">
        <f t="shared" si="23"/>
        <v>12</v>
      </c>
      <c r="H335" s="34">
        <f t="shared" si="24"/>
        <v>57.142857142857139</v>
      </c>
    </row>
    <row r="336" spans="1:8" ht="21.95" customHeight="1">
      <c r="A336" s="44"/>
      <c r="B336" s="40" t="s">
        <v>24</v>
      </c>
      <c r="C336" s="18" t="s">
        <v>10</v>
      </c>
      <c r="D336" s="22">
        <v>1</v>
      </c>
      <c r="E336" s="21">
        <v>2</v>
      </c>
      <c r="F336" s="21">
        <v>2</v>
      </c>
      <c r="G336" s="21">
        <f t="shared" si="23"/>
        <v>0</v>
      </c>
      <c r="H336" s="35">
        <f t="shared" si="24"/>
        <v>100</v>
      </c>
    </row>
    <row r="337" spans="1:8" ht="21.95" customHeight="1">
      <c r="A337" s="44"/>
      <c r="B337" s="40"/>
      <c r="C337" s="18" t="s">
        <v>13</v>
      </c>
      <c r="D337" s="22">
        <v>1</v>
      </c>
      <c r="E337" s="21">
        <v>6</v>
      </c>
      <c r="F337" s="21">
        <v>4</v>
      </c>
      <c r="G337" s="21">
        <f t="shared" si="23"/>
        <v>2</v>
      </c>
      <c r="H337" s="35">
        <f t="shared" si="24"/>
        <v>66.666666666666657</v>
      </c>
    </row>
    <row r="338" spans="1:8" ht="21.95" customHeight="1">
      <c r="A338" s="44"/>
      <c r="B338" s="40"/>
      <c r="C338" s="18" t="s">
        <v>4</v>
      </c>
      <c r="D338" s="22">
        <v>2</v>
      </c>
      <c r="E338" s="21">
        <v>3</v>
      </c>
      <c r="F338" s="21">
        <v>2</v>
      </c>
      <c r="G338" s="21">
        <f t="shared" si="23"/>
        <v>1</v>
      </c>
      <c r="H338" s="35">
        <f t="shared" si="24"/>
        <v>66.666666666666657</v>
      </c>
    </row>
    <row r="339" spans="1:8" ht="21.95" customHeight="1">
      <c r="A339" s="44"/>
      <c r="B339" s="40"/>
      <c r="C339" s="18" t="s">
        <v>5</v>
      </c>
      <c r="D339" s="22">
        <v>1</v>
      </c>
      <c r="E339" s="21">
        <v>5</v>
      </c>
      <c r="F339" s="21">
        <v>3</v>
      </c>
      <c r="G339" s="21">
        <f t="shared" si="23"/>
        <v>2</v>
      </c>
      <c r="H339" s="35">
        <f t="shared" si="24"/>
        <v>60</v>
      </c>
    </row>
    <row r="340" spans="1:8" ht="21.95" customHeight="1">
      <c r="A340" s="44"/>
      <c r="B340" s="40"/>
      <c r="C340" s="18" t="s">
        <v>6</v>
      </c>
      <c r="D340" s="22">
        <v>1</v>
      </c>
      <c r="E340" s="21">
        <v>3</v>
      </c>
      <c r="F340" s="21">
        <v>1</v>
      </c>
      <c r="G340" s="21">
        <f t="shared" si="23"/>
        <v>2</v>
      </c>
      <c r="H340" s="35">
        <f t="shared" si="24"/>
        <v>33.333333333333329</v>
      </c>
    </row>
    <row r="341" spans="1:8" ht="21.95" customHeight="1">
      <c r="A341" s="44"/>
      <c r="B341" s="40"/>
      <c r="C341" s="18" t="s">
        <v>7</v>
      </c>
      <c r="D341" s="22">
        <v>2</v>
      </c>
      <c r="E341" s="21">
        <v>9</v>
      </c>
      <c r="F341" s="21">
        <v>4</v>
      </c>
      <c r="G341" s="21">
        <f t="shared" si="23"/>
        <v>5</v>
      </c>
      <c r="H341" s="35">
        <f t="shared" si="24"/>
        <v>44.444444444444443</v>
      </c>
    </row>
    <row r="342" spans="1:8" ht="21.95" customHeight="1">
      <c r="A342" s="44"/>
      <c r="B342" s="39" t="s">
        <v>27</v>
      </c>
      <c r="C342" s="39"/>
      <c r="D342" s="8">
        <f>SUM(D343:D352)</f>
        <v>11</v>
      </c>
      <c r="E342" s="26">
        <f>SUM(E343:E352)</f>
        <v>51</v>
      </c>
      <c r="F342" s="26">
        <f>SUM(F343:F352)</f>
        <v>37</v>
      </c>
      <c r="G342" s="26">
        <f t="shared" si="23"/>
        <v>14</v>
      </c>
      <c r="H342" s="34">
        <f t="shared" si="24"/>
        <v>72.549019607843135</v>
      </c>
    </row>
    <row r="343" spans="1:8" ht="21.95" customHeight="1">
      <c r="A343" s="44"/>
      <c r="B343" s="40" t="s">
        <v>25</v>
      </c>
      <c r="C343" s="18" t="s">
        <v>1</v>
      </c>
      <c r="D343" s="22">
        <v>1</v>
      </c>
      <c r="E343" s="21">
        <v>8</v>
      </c>
      <c r="F343" s="21">
        <v>5</v>
      </c>
      <c r="G343" s="21">
        <f t="shared" si="23"/>
        <v>3</v>
      </c>
      <c r="H343" s="35">
        <f t="shared" si="24"/>
        <v>62.5</v>
      </c>
    </row>
    <row r="344" spans="1:8" ht="21.95" customHeight="1">
      <c r="A344" s="44"/>
      <c r="B344" s="40"/>
      <c r="C344" s="18" t="s">
        <v>10</v>
      </c>
      <c r="D344" s="22">
        <v>2</v>
      </c>
      <c r="E344" s="21">
        <v>9</v>
      </c>
      <c r="F344" s="21">
        <v>8</v>
      </c>
      <c r="G344" s="21">
        <f t="shared" si="23"/>
        <v>1</v>
      </c>
      <c r="H344" s="35">
        <f t="shared" si="24"/>
        <v>88.888888888888886</v>
      </c>
    </row>
    <row r="345" spans="1:8" ht="21.95" customHeight="1">
      <c r="A345" s="44"/>
      <c r="B345" s="40"/>
      <c r="C345" s="18" t="s">
        <v>11</v>
      </c>
      <c r="D345" s="22">
        <v>1</v>
      </c>
      <c r="E345" s="21">
        <v>5</v>
      </c>
      <c r="F345" s="21">
        <v>3</v>
      </c>
      <c r="G345" s="21">
        <f t="shared" si="23"/>
        <v>2</v>
      </c>
      <c r="H345" s="35">
        <f t="shared" si="24"/>
        <v>60</v>
      </c>
    </row>
    <row r="346" spans="1:8" ht="21.95" customHeight="1">
      <c r="A346" s="44"/>
      <c r="B346" s="40"/>
      <c r="C346" s="18" t="s">
        <v>12</v>
      </c>
      <c r="D346" s="22">
        <v>1</v>
      </c>
      <c r="E346" s="21">
        <v>4</v>
      </c>
      <c r="F346" s="21">
        <v>3</v>
      </c>
      <c r="G346" s="21">
        <f t="shared" si="23"/>
        <v>1</v>
      </c>
      <c r="H346" s="35">
        <f t="shared" si="24"/>
        <v>75</v>
      </c>
    </row>
    <row r="347" spans="1:8" ht="21.95" customHeight="1">
      <c r="A347" s="44"/>
      <c r="B347" s="40"/>
      <c r="C347" s="18" t="s">
        <v>3</v>
      </c>
      <c r="D347" s="22">
        <v>1</v>
      </c>
      <c r="E347" s="21">
        <v>7</v>
      </c>
      <c r="F347" s="21">
        <v>4</v>
      </c>
      <c r="G347" s="21">
        <f t="shared" si="23"/>
        <v>3</v>
      </c>
      <c r="H347" s="35">
        <f t="shared" si="24"/>
        <v>57.142857142857139</v>
      </c>
    </row>
    <row r="348" spans="1:8" ht="21.95" customHeight="1">
      <c r="A348" s="44"/>
      <c r="B348" s="40"/>
      <c r="C348" s="18" t="s">
        <v>14</v>
      </c>
      <c r="D348" s="22">
        <v>1</v>
      </c>
      <c r="E348" s="21">
        <v>3</v>
      </c>
      <c r="F348" s="21">
        <v>2</v>
      </c>
      <c r="G348" s="21">
        <f t="shared" si="23"/>
        <v>1</v>
      </c>
      <c r="H348" s="35">
        <f t="shared" si="24"/>
        <v>66.666666666666657</v>
      </c>
    </row>
    <row r="349" spans="1:8" ht="21.95" customHeight="1">
      <c r="A349" s="44"/>
      <c r="B349" s="40"/>
      <c r="C349" s="18" t="s">
        <v>4</v>
      </c>
      <c r="D349" s="22">
        <v>1</v>
      </c>
      <c r="E349" s="21">
        <v>5</v>
      </c>
      <c r="F349" s="21">
        <v>5</v>
      </c>
      <c r="G349" s="21">
        <f t="shared" si="23"/>
        <v>0</v>
      </c>
      <c r="H349" s="35">
        <f t="shared" si="24"/>
        <v>100</v>
      </c>
    </row>
    <row r="350" spans="1:8" ht="21.95" customHeight="1">
      <c r="A350" s="44"/>
      <c r="B350" s="40"/>
      <c r="C350" s="18" t="s">
        <v>5</v>
      </c>
      <c r="D350" s="22">
        <v>1</v>
      </c>
      <c r="E350" s="21">
        <v>5</v>
      </c>
      <c r="F350" s="21">
        <v>4</v>
      </c>
      <c r="G350" s="21">
        <f t="shared" si="23"/>
        <v>1</v>
      </c>
      <c r="H350" s="35">
        <f t="shared" si="24"/>
        <v>80</v>
      </c>
    </row>
    <row r="351" spans="1:8" ht="21.95" customHeight="1">
      <c r="A351" s="44"/>
      <c r="B351" s="40"/>
      <c r="C351" s="18" t="s">
        <v>8</v>
      </c>
      <c r="D351" s="22">
        <v>1</v>
      </c>
      <c r="E351" s="21">
        <v>0</v>
      </c>
      <c r="F351" s="21">
        <v>0</v>
      </c>
      <c r="G351" s="21">
        <f t="shared" si="23"/>
        <v>0</v>
      </c>
      <c r="H351" s="35" t="s">
        <v>158</v>
      </c>
    </row>
    <row r="352" spans="1:8" ht="21.75" customHeight="1">
      <c r="A352" s="44"/>
      <c r="B352" s="40"/>
      <c r="C352" s="18" t="s">
        <v>18</v>
      </c>
      <c r="D352" s="22">
        <v>1</v>
      </c>
      <c r="E352" s="21">
        <v>5</v>
      </c>
      <c r="F352" s="21">
        <v>3</v>
      </c>
      <c r="G352" s="21">
        <f t="shared" si="23"/>
        <v>2</v>
      </c>
      <c r="H352" s="35">
        <f t="shared" si="24"/>
        <v>60</v>
      </c>
    </row>
    <row r="353" spans="1:8" ht="21.95" customHeight="1">
      <c r="A353" s="44"/>
      <c r="B353" s="39" t="s">
        <v>27</v>
      </c>
      <c r="C353" s="39"/>
      <c r="D353" s="8">
        <f>SUM(D354:D356)</f>
        <v>3</v>
      </c>
      <c r="E353" s="26">
        <f>SUM(E354:E356)</f>
        <v>35</v>
      </c>
      <c r="F353" s="26">
        <f>SUM(F354:F356)</f>
        <v>16</v>
      </c>
      <c r="G353" s="26">
        <f t="shared" si="23"/>
        <v>19</v>
      </c>
      <c r="H353" s="34">
        <f t="shared" si="24"/>
        <v>45.714285714285715</v>
      </c>
    </row>
    <row r="354" spans="1:8" ht="21.95" customHeight="1">
      <c r="A354" s="44"/>
      <c r="B354" s="41" t="s">
        <v>26</v>
      </c>
      <c r="C354" s="18" t="s">
        <v>83</v>
      </c>
      <c r="D354" s="22">
        <v>1</v>
      </c>
      <c r="E354" s="21">
        <v>23</v>
      </c>
      <c r="F354" s="21">
        <v>10</v>
      </c>
      <c r="G354" s="21">
        <f t="shared" si="23"/>
        <v>13</v>
      </c>
      <c r="H354" s="35">
        <f t="shared" si="24"/>
        <v>43.478260869565219</v>
      </c>
    </row>
    <row r="355" spans="1:8" ht="21.95" customHeight="1">
      <c r="A355" s="44"/>
      <c r="B355" s="42"/>
      <c r="C355" s="18" t="s">
        <v>100</v>
      </c>
      <c r="D355" s="22">
        <v>1</v>
      </c>
      <c r="E355" s="21">
        <v>12</v>
      </c>
      <c r="F355" s="21">
        <v>6</v>
      </c>
      <c r="G355" s="21">
        <f t="shared" si="23"/>
        <v>6</v>
      </c>
      <c r="H355" s="35">
        <f t="shared" si="24"/>
        <v>50</v>
      </c>
    </row>
    <row r="356" spans="1:8" ht="21.95" customHeight="1">
      <c r="A356" s="44"/>
      <c r="B356" s="47"/>
      <c r="C356" s="7" t="s">
        <v>125</v>
      </c>
      <c r="D356" s="22">
        <v>1</v>
      </c>
      <c r="E356" s="21">
        <v>0</v>
      </c>
      <c r="F356" s="21">
        <v>0</v>
      </c>
      <c r="G356" s="21">
        <f t="shared" si="23"/>
        <v>0</v>
      </c>
      <c r="H356" s="35" t="s">
        <v>158</v>
      </c>
    </row>
    <row r="357" spans="1:8" ht="21.75" customHeight="1">
      <c r="A357" s="51" t="s">
        <v>36</v>
      </c>
      <c r="B357" s="52"/>
      <c r="C357" s="12" t="s">
        <v>30</v>
      </c>
      <c r="D357" s="28">
        <f>SUM(D358,D360,D365,D372,D374,D377)</f>
        <v>22</v>
      </c>
      <c r="E357" s="31">
        <f>E358+E360+E365+E372+E374+E377</f>
        <v>300</v>
      </c>
      <c r="F357" s="31">
        <f>F358+F360+F365+F372+F374+F377</f>
        <v>199</v>
      </c>
      <c r="G357" s="31">
        <f t="shared" si="23"/>
        <v>101</v>
      </c>
      <c r="H357" s="33">
        <f t="shared" si="24"/>
        <v>66.333333333333329</v>
      </c>
    </row>
    <row r="358" spans="1:8" ht="21.75" customHeight="1">
      <c r="A358" s="36" t="s">
        <v>139</v>
      </c>
      <c r="B358" s="37" t="s">
        <v>27</v>
      </c>
      <c r="C358" s="38"/>
      <c r="D358" s="8">
        <f>SUM(D359:D359)</f>
        <v>1</v>
      </c>
      <c r="E358" s="26">
        <f>SUM(E359:E359)</f>
        <v>15</v>
      </c>
      <c r="F358" s="26">
        <f>SUM(F359:F359)</f>
        <v>10</v>
      </c>
      <c r="G358" s="26">
        <f t="shared" si="23"/>
        <v>5</v>
      </c>
      <c r="H358" s="34">
        <f t="shared" si="24"/>
        <v>66.666666666666657</v>
      </c>
    </row>
    <row r="359" spans="1:8" ht="21.75" customHeight="1">
      <c r="A359" s="36"/>
      <c r="B359" s="18" t="s">
        <v>33</v>
      </c>
      <c r="C359" s="7" t="s">
        <v>126</v>
      </c>
      <c r="D359" s="22">
        <v>1</v>
      </c>
      <c r="E359" s="25">
        <v>15</v>
      </c>
      <c r="F359" s="25">
        <v>10</v>
      </c>
      <c r="G359" s="25">
        <f t="shared" si="23"/>
        <v>5</v>
      </c>
      <c r="H359" s="35">
        <f t="shared" si="24"/>
        <v>66.666666666666657</v>
      </c>
    </row>
    <row r="360" spans="1:8" ht="21.75" customHeight="1">
      <c r="A360" s="36"/>
      <c r="B360" s="37" t="s">
        <v>27</v>
      </c>
      <c r="C360" s="38"/>
      <c r="D360" s="8">
        <f>SUM(D361:D364)</f>
        <v>5</v>
      </c>
      <c r="E360" s="26">
        <f>SUM(E361:E364)</f>
        <v>43</v>
      </c>
      <c r="F360" s="26">
        <f>SUM(F361:F364)</f>
        <v>32</v>
      </c>
      <c r="G360" s="26">
        <f t="shared" ref="G360:G383" si="25">E360-F360</f>
        <v>11</v>
      </c>
      <c r="H360" s="34">
        <f t="shared" si="24"/>
        <v>74.418604651162795</v>
      </c>
    </row>
    <row r="361" spans="1:8" ht="21.75" customHeight="1">
      <c r="A361" s="36"/>
      <c r="B361" s="40" t="s">
        <v>34</v>
      </c>
      <c r="C361" s="18" t="s">
        <v>127</v>
      </c>
      <c r="D361" s="22">
        <v>1</v>
      </c>
      <c r="E361" s="27">
        <v>14</v>
      </c>
      <c r="F361" s="27">
        <v>10</v>
      </c>
      <c r="G361" s="27">
        <f t="shared" si="25"/>
        <v>4</v>
      </c>
      <c r="H361" s="35">
        <f t="shared" si="24"/>
        <v>71.428571428571431</v>
      </c>
    </row>
    <row r="362" spans="1:8" ht="21.75" customHeight="1">
      <c r="A362" s="36"/>
      <c r="B362" s="40"/>
      <c r="C362" s="18" t="s">
        <v>128</v>
      </c>
      <c r="D362" s="22">
        <v>2</v>
      </c>
      <c r="E362" s="27">
        <v>16</v>
      </c>
      <c r="F362" s="27">
        <v>12</v>
      </c>
      <c r="G362" s="27">
        <f t="shared" si="25"/>
        <v>4</v>
      </c>
      <c r="H362" s="35">
        <f t="shared" si="24"/>
        <v>75</v>
      </c>
    </row>
    <row r="363" spans="1:8" ht="21.75" customHeight="1">
      <c r="A363" s="36"/>
      <c r="B363" s="40"/>
      <c r="C363" s="18" t="s">
        <v>129</v>
      </c>
      <c r="D363" s="22">
        <v>1</v>
      </c>
      <c r="E363" s="27">
        <v>5</v>
      </c>
      <c r="F363" s="27">
        <v>3</v>
      </c>
      <c r="G363" s="27">
        <f t="shared" si="25"/>
        <v>2</v>
      </c>
      <c r="H363" s="35">
        <f t="shared" si="24"/>
        <v>60</v>
      </c>
    </row>
    <row r="364" spans="1:8" ht="21.75" customHeight="1">
      <c r="A364" s="36"/>
      <c r="B364" s="40"/>
      <c r="C364" s="18" t="s">
        <v>130</v>
      </c>
      <c r="D364" s="22">
        <v>1</v>
      </c>
      <c r="E364" s="27">
        <v>8</v>
      </c>
      <c r="F364" s="27">
        <v>7</v>
      </c>
      <c r="G364" s="27">
        <f t="shared" si="25"/>
        <v>1</v>
      </c>
      <c r="H364" s="35">
        <f t="shared" si="24"/>
        <v>87.5</v>
      </c>
    </row>
    <row r="365" spans="1:8" ht="21.75" customHeight="1">
      <c r="A365" s="36"/>
      <c r="B365" s="37" t="s">
        <v>27</v>
      </c>
      <c r="C365" s="38"/>
      <c r="D365" s="8">
        <f>SUM(D366:D371)</f>
        <v>6</v>
      </c>
      <c r="E365" s="26">
        <f>SUM(E366:E371)</f>
        <v>21</v>
      </c>
      <c r="F365" s="26">
        <f>SUM(F366:F371)</f>
        <v>12</v>
      </c>
      <c r="G365" s="26">
        <f t="shared" si="25"/>
        <v>9</v>
      </c>
      <c r="H365" s="34">
        <f t="shared" si="24"/>
        <v>57.142857142857139</v>
      </c>
    </row>
    <row r="366" spans="1:8" ht="21.75" customHeight="1">
      <c r="A366" s="36"/>
      <c r="B366" s="40" t="s">
        <v>131</v>
      </c>
      <c r="C366" s="18" t="s">
        <v>132</v>
      </c>
      <c r="D366" s="22">
        <v>1</v>
      </c>
      <c r="E366" s="27">
        <v>4</v>
      </c>
      <c r="F366" s="27">
        <v>2</v>
      </c>
      <c r="G366" s="27">
        <f t="shared" si="25"/>
        <v>2</v>
      </c>
      <c r="H366" s="35">
        <f t="shared" si="24"/>
        <v>50</v>
      </c>
    </row>
    <row r="367" spans="1:8" ht="21.75" customHeight="1">
      <c r="A367" s="36"/>
      <c r="B367" s="40"/>
      <c r="C367" s="18" t="s">
        <v>133</v>
      </c>
      <c r="D367" s="22">
        <v>1</v>
      </c>
      <c r="E367" s="27">
        <v>1</v>
      </c>
      <c r="F367" s="27">
        <v>0</v>
      </c>
      <c r="G367" s="27">
        <f t="shared" si="25"/>
        <v>1</v>
      </c>
      <c r="H367" s="35">
        <f t="shared" si="24"/>
        <v>0</v>
      </c>
    </row>
    <row r="368" spans="1:8" ht="21.75" customHeight="1">
      <c r="A368" s="36"/>
      <c r="B368" s="40"/>
      <c r="C368" s="18" t="s">
        <v>134</v>
      </c>
      <c r="D368" s="22">
        <v>1</v>
      </c>
      <c r="E368" s="27">
        <v>2</v>
      </c>
      <c r="F368" s="27">
        <v>2</v>
      </c>
      <c r="G368" s="27">
        <f t="shared" si="25"/>
        <v>0</v>
      </c>
      <c r="H368" s="35">
        <f t="shared" si="24"/>
        <v>100</v>
      </c>
    </row>
    <row r="369" spans="1:8" ht="21.75" customHeight="1">
      <c r="A369" s="36"/>
      <c r="B369" s="40"/>
      <c r="C369" s="18" t="s">
        <v>129</v>
      </c>
      <c r="D369" s="22">
        <v>1</v>
      </c>
      <c r="E369" s="27">
        <v>7</v>
      </c>
      <c r="F369" s="27">
        <v>3</v>
      </c>
      <c r="G369" s="27">
        <f t="shared" si="25"/>
        <v>4</v>
      </c>
      <c r="H369" s="35">
        <f t="shared" si="24"/>
        <v>42.857142857142854</v>
      </c>
    </row>
    <row r="370" spans="1:8" ht="21.75" customHeight="1">
      <c r="A370" s="36"/>
      <c r="B370" s="40"/>
      <c r="C370" s="18" t="s">
        <v>135</v>
      </c>
      <c r="D370" s="22">
        <v>1</v>
      </c>
      <c r="E370" s="27">
        <v>3</v>
      </c>
      <c r="F370" s="27">
        <v>3</v>
      </c>
      <c r="G370" s="27">
        <f t="shared" si="25"/>
        <v>0</v>
      </c>
      <c r="H370" s="35">
        <f t="shared" si="24"/>
        <v>100</v>
      </c>
    </row>
    <row r="371" spans="1:8" ht="21.75" customHeight="1">
      <c r="A371" s="36"/>
      <c r="B371" s="40"/>
      <c r="C371" s="18" t="s">
        <v>136</v>
      </c>
      <c r="D371" s="22">
        <v>1</v>
      </c>
      <c r="E371" s="27">
        <v>4</v>
      </c>
      <c r="F371" s="27">
        <v>2</v>
      </c>
      <c r="G371" s="27">
        <f t="shared" si="25"/>
        <v>2</v>
      </c>
      <c r="H371" s="35">
        <f t="shared" si="24"/>
        <v>50</v>
      </c>
    </row>
    <row r="372" spans="1:8" ht="21.75" customHeight="1">
      <c r="A372" s="36"/>
      <c r="B372" s="37" t="s">
        <v>27</v>
      </c>
      <c r="C372" s="38"/>
      <c r="D372" s="8">
        <f>SUM(D373:D373)</f>
        <v>2</v>
      </c>
      <c r="E372" s="26">
        <f>SUM(E373:E373)</f>
        <v>24</v>
      </c>
      <c r="F372" s="26">
        <f>SUM(F373:F373)</f>
        <v>20</v>
      </c>
      <c r="G372" s="26">
        <f t="shared" si="25"/>
        <v>4</v>
      </c>
      <c r="H372" s="34">
        <f t="shared" si="24"/>
        <v>83.333333333333343</v>
      </c>
    </row>
    <row r="373" spans="1:8" ht="21.75" customHeight="1">
      <c r="A373" s="36"/>
      <c r="B373" s="18" t="s">
        <v>137</v>
      </c>
      <c r="C373" s="18" t="s">
        <v>138</v>
      </c>
      <c r="D373" s="22">
        <v>2</v>
      </c>
      <c r="E373" s="27">
        <v>24</v>
      </c>
      <c r="F373" s="27">
        <v>20</v>
      </c>
      <c r="G373" s="27">
        <f t="shared" si="25"/>
        <v>4</v>
      </c>
      <c r="H373" s="35">
        <f t="shared" si="24"/>
        <v>83.333333333333343</v>
      </c>
    </row>
    <row r="374" spans="1:8" ht="21.75" customHeight="1">
      <c r="A374" s="36"/>
      <c r="B374" s="37" t="s">
        <v>35</v>
      </c>
      <c r="C374" s="38"/>
      <c r="D374" s="8">
        <f>SUM(D375:D376)</f>
        <v>2</v>
      </c>
      <c r="E374" s="26">
        <f>SUM(E375:E376)</f>
        <v>47</v>
      </c>
      <c r="F374" s="26">
        <f>SUM(F375:F376)</f>
        <v>34</v>
      </c>
      <c r="G374" s="26">
        <f t="shared" si="25"/>
        <v>13</v>
      </c>
      <c r="H374" s="34">
        <f t="shared" si="24"/>
        <v>72.340425531914903</v>
      </c>
    </row>
    <row r="375" spans="1:8" ht="21.75" customHeight="1">
      <c r="A375" s="36"/>
      <c r="B375" s="41" t="s">
        <v>140</v>
      </c>
      <c r="C375" s="9" t="s">
        <v>95</v>
      </c>
      <c r="D375" s="23">
        <v>1</v>
      </c>
      <c r="E375" s="25">
        <v>18</v>
      </c>
      <c r="F375" s="25">
        <v>14</v>
      </c>
      <c r="G375" s="25">
        <f t="shared" si="25"/>
        <v>4</v>
      </c>
      <c r="H375" s="35">
        <f t="shared" si="24"/>
        <v>77.777777777777786</v>
      </c>
    </row>
    <row r="376" spans="1:8" ht="21.75" customHeight="1">
      <c r="A376" s="36"/>
      <c r="B376" s="42"/>
      <c r="C376" s="9" t="s">
        <v>57</v>
      </c>
      <c r="D376" s="23">
        <v>1</v>
      </c>
      <c r="E376" s="25">
        <v>29</v>
      </c>
      <c r="F376" s="25">
        <v>20</v>
      </c>
      <c r="G376" s="25">
        <f t="shared" si="25"/>
        <v>9</v>
      </c>
      <c r="H376" s="35">
        <f t="shared" si="24"/>
        <v>68.965517241379317</v>
      </c>
    </row>
    <row r="377" spans="1:8" ht="21.75" customHeight="1">
      <c r="A377" s="36"/>
      <c r="B377" s="39" t="s">
        <v>27</v>
      </c>
      <c r="C377" s="39"/>
      <c r="D377" s="8">
        <f>SUM(D378:D383)</f>
        <v>6</v>
      </c>
      <c r="E377" s="26">
        <f>SUM(E378:E383)</f>
        <v>150</v>
      </c>
      <c r="F377" s="26">
        <f>SUM(F378:F383)</f>
        <v>91</v>
      </c>
      <c r="G377" s="26">
        <f t="shared" si="25"/>
        <v>59</v>
      </c>
      <c r="H377" s="34">
        <f t="shared" si="24"/>
        <v>60.666666666666671</v>
      </c>
    </row>
    <row r="378" spans="1:8" ht="21.75" customHeight="1">
      <c r="A378" s="36"/>
      <c r="B378" s="40" t="s">
        <v>31</v>
      </c>
      <c r="C378" s="9" t="s">
        <v>12</v>
      </c>
      <c r="D378" s="23">
        <v>1</v>
      </c>
      <c r="E378" s="25">
        <v>30</v>
      </c>
      <c r="F378" s="25">
        <v>17</v>
      </c>
      <c r="G378" s="25">
        <f t="shared" si="25"/>
        <v>13</v>
      </c>
      <c r="H378" s="35">
        <f t="shared" si="24"/>
        <v>56.666666666666664</v>
      </c>
    </row>
    <row r="379" spans="1:8" ht="21.75" customHeight="1">
      <c r="A379" s="36"/>
      <c r="B379" s="40"/>
      <c r="C379" s="9" t="s">
        <v>4</v>
      </c>
      <c r="D379" s="23">
        <v>1</v>
      </c>
      <c r="E379" s="25">
        <v>22</v>
      </c>
      <c r="F379" s="25">
        <v>17</v>
      </c>
      <c r="G379" s="25">
        <f t="shared" si="25"/>
        <v>5</v>
      </c>
      <c r="H379" s="35">
        <f t="shared" si="24"/>
        <v>77.272727272727266</v>
      </c>
    </row>
    <row r="380" spans="1:8" ht="21.75" customHeight="1">
      <c r="A380" s="36"/>
      <c r="B380" s="40"/>
      <c r="C380" s="9" t="s">
        <v>5</v>
      </c>
      <c r="D380" s="23">
        <v>1</v>
      </c>
      <c r="E380" s="25">
        <v>31</v>
      </c>
      <c r="F380" s="25">
        <v>22</v>
      </c>
      <c r="G380" s="25">
        <f t="shared" si="25"/>
        <v>9</v>
      </c>
      <c r="H380" s="35">
        <f t="shared" si="24"/>
        <v>70.967741935483872</v>
      </c>
    </row>
    <row r="381" spans="1:8" ht="21.75" customHeight="1">
      <c r="A381" s="36"/>
      <c r="B381" s="40"/>
      <c r="C381" s="9" t="s">
        <v>6</v>
      </c>
      <c r="D381" s="23">
        <v>1</v>
      </c>
      <c r="E381" s="25">
        <v>22</v>
      </c>
      <c r="F381" s="25">
        <v>13</v>
      </c>
      <c r="G381" s="25">
        <f t="shared" si="25"/>
        <v>9</v>
      </c>
      <c r="H381" s="35">
        <f t="shared" si="24"/>
        <v>59.090909090909093</v>
      </c>
    </row>
    <row r="382" spans="1:8" ht="21.75" customHeight="1">
      <c r="A382" s="36"/>
      <c r="B382" s="40"/>
      <c r="C382" s="9" t="s">
        <v>15</v>
      </c>
      <c r="D382" s="23">
        <v>1</v>
      </c>
      <c r="E382" s="25">
        <v>34</v>
      </c>
      <c r="F382" s="25">
        <v>14</v>
      </c>
      <c r="G382" s="25">
        <f t="shared" si="25"/>
        <v>20</v>
      </c>
      <c r="H382" s="35">
        <f t="shared" si="24"/>
        <v>41.17647058823529</v>
      </c>
    </row>
    <row r="383" spans="1:8" ht="21.75" customHeight="1">
      <c r="A383" s="36"/>
      <c r="B383" s="40"/>
      <c r="C383" s="9" t="s">
        <v>8</v>
      </c>
      <c r="D383" s="23">
        <v>1</v>
      </c>
      <c r="E383" s="25">
        <v>11</v>
      </c>
      <c r="F383" s="25">
        <v>8</v>
      </c>
      <c r="G383" s="25">
        <f t="shared" si="25"/>
        <v>3</v>
      </c>
      <c r="H383" s="35">
        <f t="shared" si="24"/>
        <v>72.727272727272734</v>
      </c>
    </row>
  </sheetData>
  <mergeCells count="93">
    <mergeCell ref="G4:H4"/>
    <mergeCell ref="A7:B7"/>
    <mergeCell ref="A357:B357"/>
    <mergeCell ref="B354:B356"/>
    <mergeCell ref="B353:C353"/>
    <mergeCell ref="B9:B21"/>
    <mergeCell ref="B23:B32"/>
    <mergeCell ref="B238:B241"/>
    <mergeCell ref="B247:B248"/>
    <mergeCell ref="B250:B264"/>
    <mergeCell ref="B265:C265"/>
    <mergeCell ref="B280:C280"/>
    <mergeCell ref="B204:C204"/>
    <mergeCell ref="B216:C216"/>
    <mergeCell ref="B123:B124"/>
    <mergeCell ref="B331:C331"/>
    <mergeCell ref="B335:C335"/>
    <mergeCell ref="B207:B215"/>
    <mergeCell ref="B268:B279"/>
    <mergeCell ref="B283:B298"/>
    <mergeCell ref="B246:C246"/>
    <mergeCell ref="B230:C230"/>
    <mergeCell ref="B242:C242"/>
    <mergeCell ref="B244:C244"/>
    <mergeCell ref="B233:B236"/>
    <mergeCell ref="B219:B229"/>
    <mergeCell ref="B232:C232"/>
    <mergeCell ref="B34:B57"/>
    <mergeCell ref="B59:B74"/>
    <mergeCell ref="B76:B89"/>
    <mergeCell ref="B104:B105"/>
    <mergeCell ref="B107:B108"/>
    <mergeCell ref="B91:B102"/>
    <mergeCell ref="B103:C103"/>
    <mergeCell ref="B187:B190"/>
    <mergeCell ref="B192:B203"/>
    <mergeCell ref="B110:B119"/>
    <mergeCell ref="B126:B137"/>
    <mergeCell ref="B139:B147"/>
    <mergeCell ref="B149:B152"/>
    <mergeCell ref="B138:C138"/>
    <mergeCell ref="B148:C148"/>
    <mergeCell ref="B120:C120"/>
    <mergeCell ref="B154:B160"/>
    <mergeCell ref="B173:B174"/>
    <mergeCell ref="B172:C172"/>
    <mergeCell ref="B170:C170"/>
    <mergeCell ref="B162:B169"/>
    <mergeCell ref="B153:C153"/>
    <mergeCell ref="B161:C161"/>
    <mergeCell ref="A2:H2"/>
    <mergeCell ref="B302:B317"/>
    <mergeCell ref="B318:C318"/>
    <mergeCell ref="B343:B352"/>
    <mergeCell ref="B8:C8"/>
    <mergeCell ref="B22:C22"/>
    <mergeCell ref="B186:C186"/>
    <mergeCell ref="B191:C191"/>
    <mergeCell ref="B206:C206"/>
    <mergeCell ref="B218:C218"/>
    <mergeCell ref="B237:C237"/>
    <mergeCell ref="B249:C249"/>
    <mergeCell ref="B267:C267"/>
    <mergeCell ref="B282:C282"/>
    <mergeCell ref="B299:C299"/>
    <mergeCell ref="B342:C342"/>
    <mergeCell ref="A8:A356"/>
    <mergeCell ref="B33:C33"/>
    <mergeCell ref="B58:C58"/>
    <mergeCell ref="B75:C75"/>
    <mergeCell ref="B90:C90"/>
    <mergeCell ref="B106:C106"/>
    <mergeCell ref="B109:C109"/>
    <mergeCell ref="B122:C122"/>
    <mergeCell ref="B125:C125"/>
    <mergeCell ref="B301:C301"/>
    <mergeCell ref="B320:C320"/>
    <mergeCell ref="B321:B330"/>
    <mergeCell ref="B332:B334"/>
    <mergeCell ref="B336:B341"/>
    <mergeCell ref="B175:C175"/>
    <mergeCell ref="B176:B185"/>
    <mergeCell ref="A358:A383"/>
    <mergeCell ref="B372:C372"/>
    <mergeCell ref="B377:C377"/>
    <mergeCell ref="B378:B383"/>
    <mergeCell ref="B374:C374"/>
    <mergeCell ref="B375:B376"/>
    <mergeCell ref="B366:B371"/>
    <mergeCell ref="B361:B364"/>
    <mergeCell ref="B365:C365"/>
    <mergeCell ref="B358:C358"/>
    <mergeCell ref="B360:C360"/>
  </mergeCells>
  <phoneticPr fontId="1" type="noConversion"/>
  <pageMargins left="0.70866141732283461" right="0.70866141732283461" top="0.74803149606299213" bottom="0.74803149606299213" header="0.31496062992125984" footer="0.31496062992125984"/>
  <pageSetup paperSize="8" scale="85" fitToHeight="0" orientation="portrait" verticalDpi="0" r:id="rId1"/>
  <ignoredErrors>
    <ignoredError sqref="D267 D282 D301" formulaRange="1"/>
    <ignoredError sqref="G22 G58 G75 G90 G103 G106 G109 G1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Sheet0</vt:lpstr>
      <vt:lpstr>Sheet0!Print_Area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2024-06-25T04:17:52Z</cp:lastPrinted>
  <dcterms:created xsi:type="dcterms:W3CDTF">2022-03-28T22:57:57Z</dcterms:created>
  <dcterms:modified xsi:type="dcterms:W3CDTF">2024-06-25T07:08:59Z</dcterms:modified>
</cp:coreProperties>
</file>